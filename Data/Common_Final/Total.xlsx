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mma\New_ECC\Common_Final\"/>
    </mc:Choice>
  </mc:AlternateContent>
  <bookViews>
    <workbookView xWindow="0" yWindow="0" windowWidth="20490" windowHeight="7755" activeTab="4"/>
  </bookViews>
  <sheets>
    <sheet name="YMIPS" sheetId="1" r:id="rId1"/>
    <sheet name="YDIP" sheetId="2" r:id="rId2"/>
    <sheet name="YHQ" sheetId="3" r:id="rId3"/>
    <sheet name="YMDB" sheetId="4" r:id="rId4"/>
    <sheet name="Comm_neigh" sheetId="5" r:id="rId5"/>
    <sheet name="Sheet2" sheetId="6" r:id="rId6"/>
  </sheets>
  <calcPr calcId="152511"/>
</workbook>
</file>

<file path=xl/calcChain.xml><?xml version="1.0" encoding="utf-8"?>
<calcChain xmlns="http://schemas.openxmlformats.org/spreadsheetml/2006/main">
  <c r="K19" i="4" l="1"/>
  <c r="J19" i="4"/>
  <c r="H19" i="4"/>
  <c r="G19" i="4"/>
  <c r="I19" i="4" s="1"/>
  <c r="G18" i="4"/>
  <c r="L18" i="4" s="1"/>
  <c r="N18" i="4" s="1"/>
  <c r="H18" i="4"/>
  <c r="J18" i="4"/>
  <c r="K18" i="4"/>
  <c r="N18" i="3"/>
  <c r="M18" i="3"/>
  <c r="L18" i="3"/>
  <c r="K18" i="3"/>
  <c r="J18" i="3"/>
  <c r="I18" i="3"/>
  <c r="H18" i="3"/>
  <c r="G18" i="3"/>
  <c r="G19" i="3"/>
  <c r="J19" i="3" s="1"/>
  <c r="F18" i="3"/>
  <c r="F19" i="3"/>
  <c r="H19" i="3" s="1"/>
  <c r="E15" i="1"/>
  <c r="J15" i="1" s="1"/>
  <c r="L15" i="1" s="1"/>
  <c r="F15" i="1"/>
  <c r="H15" i="1"/>
  <c r="I15" i="1"/>
  <c r="M19" i="4" l="1"/>
  <c r="O19" i="4"/>
  <c r="L19" i="4"/>
  <c r="N19" i="4" s="1"/>
  <c r="N19" i="3"/>
  <c r="L19" i="3"/>
  <c r="I19" i="3"/>
  <c r="K19" i="3"/>
  <c r="I18" i="4"/>
  <c r="G15" i="1"/>
  <c r="J16" i="1"/>
  <c r="F16" i="1"/>
  <c r="I16" i="1" s="1"/>
  <c r="E16" i="1"/>
  <c r="M19" i="3" l="1"/>
  <c r="H16" i="1"/>
  <c r="L16" i="1" s="1"/>
  <c r="G16" i="1"/>
  <c r="M18" i="4"/>
  <c r="O18" i="4"/>
  <c r="M15" i="1"/>
  <c r="K15" i="1"/>
  <c r="G18" i="2"/>
  <c r="I18" i="2" s="1"/>
  <c r="F18" i="2"/>
  <c r="H18" i="2" s="1"/>
  <c r="L18" i="2" s="1"/>
  <c r="N18" i="2" l="1"/>
  <c r="J18" i="2"/>
  <c r="M16" i="1"/>
  <c r="K16" i="1"/>
  <c r="M18" i="2"/>
  <c r="K18" i="2"/>
  <c r="H17" i="4"/>
  <c r="K17" i="4" s="1"/>
  <c r="G17" i="4"/>
  <c r="H16" i="4"/>
  <c r="J16" i="4" s="1"/>
  <c r="G16" i="4"/>
  <c r="L16" i="4" s="1"/>
  <c r="H15" i="4"/>
  <c r="G15" i="4"/>
  <c r="L15" i="4" s="1"/>
  <c r="H14" i="4"/>
  <c r="J14" i="4" s="1"/>
  <c r="G14" i="4"/>
  <c r="L14" i="4" s="1"/>
  <c r="H13" i="4"/>
  <c r="K13" i="4" s="1"/>
  <c r="G13" i="4"/>
  <c r="H12" i="4"/>
  <c r="J12" i="4" s="1"/>
  <c r="G12" i="4"/>
  <c r="L12" i="4" s="1"/>
  <c r="H11" i="4"/>
  <c r="G11" i="4"/>
  <c r="L11" i="4" s="1"/>
  <c r="H10" i="4"/>
  <c r="K10" i="4" s="1"/>
  <c r="G10" i="4"/>
  <c r="L10" i="4" s="1"/>
  <c r="H9" i="4"/>
  <c r="K9" i="4" s="1"/>
  <c r="G9" i="4"/>
  <c r="H8" i="4"/>
  <c r="J8" i="4" s="1"/>
  <c r="G8" i="4"/>
  <c r="L7" i="4"/>
  <c r="H7" i="4"/>
  <c r="G7" i="4"/>
  <c r="G17" i="3"/>
  <c r="J17" i="3" s="1"/>
  <c r="F17" i="3"/>
  <c r="H17" i="3" s="1"/>
  <c r="G16" i="3"/>
  <c r="I16" i="3" s="1"/>
  <c r="F16" i="3"/>
  <c r="K16" i="3" s="1"/>
  <c r="G15" i="3"/>
  <c r="F15" i="3"/>
  <c r="K15" i="3" s="1"/>
  <c r="G14" i="3"/>
  <c r="F14" i="3"/>
  <c r="K14" i="3" s="1"/>
  <c r="G13" i="3"/>
  <c r="J13" i="3" s="1"/>
  <c r="F13" i="3"/>
  <c r="K13" i="3" s="1"/>
  <c r="G12" i="3"/>
  <c r="I12" i="3" s="1"/>
  <c r="F12" i="3"/>
  <c r="K12" i="3" s="1"/>
  <c r="G11" i="3"/>
  <c r="F11" i="3"/>
  <c r="K11" i="3" s="1"/>
  <c r="G10" i="3"/>
  <c r="I10" i="3" s="1"/>
  <c r="F10" i="3"/>
  <c r="K10" i="3" s="1"/>
  <c r="G9" i="3"/>
  <c r="J9" i="3" s="1"/>
  <c r="F9" i="3"/>
  <c r="H9" i="3" s="1"/>
  <c r="G8" i="3"/>
  <c r="I8" i="3" s="1"/>
  <c r="F8" i="3"/>
  <c r="K8" i="3" s="1"/>
  <c r="G7" i="3"/>
  <c r="F7" i="3"/>
  <c r="K7" i="3" s="1"/>
  <c r="G17" i="2"/>
  <c r="F17" i="2"/>
  <c r="K17" i="2" s="1"/>
  <c r="G16" i="2"/>
  <c r="J16" i="2" s="1"/>
  <c r="F16" i="2"/>
  <c r="G15" i="2"/>
  <c r="I15" i="2" s="1"/>
  <c r="F15" i="2"/>
  <c r="K15" i="2" s="1"/>
  <c r="G14" i="2"/>
  <c r="F14" i="2"/>
  <c r="K14" i="2" s="1"/>
  <c r="G13" i="2"/>
  <c r="J13" i="2" s="1"/>
  <c r="F13" i="2"/>
  <c r="K13" i="2" s="1"/>
  <c r="G12" i="2"/>
  <c r="J12" i="2" s="1"/>
  <c r="F12" i="2"/>
  <c r="H12" i="2" s="1"/>
  <c r="G11" i="2"/>
  <c r="I11" i="2" s="1"/>
  <c r="F11" i="2"/>
  <c r="K11" i="2" s="1"/>
  <c r="G10" i="2"/>
  <c r="F10" i="2"/>
  <c r="K10" i="2" s="1"/>
  <c r="G9" i="2"/>
  <c r="J9" i="2" s="1"/>
  <c r="F9" i="2"/>
  <c r="K9" i="2" s="1"/>
  <c r="G8" i="2"/>
  <c r="J8" i="2" s="1"/>
  <c r="F8" i="2"/>
  <c r="H8" i="2" s="1"/>
  <c r="G7" i="2"/>
  <c r="I7" i="2" s="1"/>
  <c r="F7" i="2"/>
  <c r="K7" i="2" s="1"/>
  <c r="I13" i="4" l="1"/>
  <c r="H10" i="2"/>
  <c r="N10" i="2" s="1"/>
  <c r="J13" i="4"/>
  <c r="J11" i="2"/>
  <c r="H17" i="2"/>
  <c r="L17" i="2" s="1"/>
  <c r="K8" i="2"/>
  <c r="M7" i="2"/>
  <c r="I13" i="2"/>
  <c r="M13" i="2" s="1"/>
  <c r="I8" i="2"/>
  <c r="H9" i="2"/>
  <c r="L9" i="2" s="1"/>
  <c r="H16" i="2"/>
  <c r="N16" i="2" s="1"/>
  <c r="I9" i="2"/>
  <c r="M9" i="2" s="1"/>
  <c r="I16" i="2"/>
  <c r="K16" i="2"/>
  <c r="J15" i="2"/>
  <c r="H14" i="2"/>
  <c r="N14" i="2" s="1"/>
  <c r="H13" i="2"/>
  <c r="L13" i="2" s="1"/>
  <c r="K12" i="2"/>
  <c r="I12" i="2"/>
  <c r="J7" i="2"/>
  <c r="I17" i="2"/>
  <c r="M17" i="2" s="1"/>
  <c r="J17" i="2"/>
  <c r="H14" i="3"/>
  <c r="L14" i="3" s="1"/>
  <c r="H11" i="3"/>
  <c r="J10" i="3"/>
  <c r="I17" i="3"/>
  <c r="H15" i="3"/>
  <c r="N15" i="3" s="1"/>
  <c r="K9" i="3"/>
  <c r="M16" i="3"/>
  <c r="K17" i="3"/>
  <c r="H7" i="3"/>
  <c r="L7" i="3" s="1"/>
  <c r="I13" i="3"/>
  <c r="M13" i="3" s="1"/>
  <c r="I9" i="3"/>
  <c r="H10" i="3"/>
  <c r="L10" i="3" s="1"/>
  <c r="J12" i="3"/>
  <c r="I14" i="3"/>
  <c r="M14" i="3" s="1"/>
  <c r="J8" i="3"/>
  <c r="H13" i="3"/>
  <c r="N13" i="3" s="1"/>
  <c r="J14" i="3"/>
  <c r="J16" i="3"/>
  <c r="I8" i="4"/>
  <c r="K14" i="4"/>
  <c r="I7" i="4"/>
  <c r="M7" i="4" s="1"/>
  <c r="I9" i="4"/>
  <c r="K12" i="4"/>
  <c r="J9" i="4"/>
  <c r="J10" i="4"/>
  <c r="N10" i="4" s="1"/>
  <c r="K16" i="4"/>
  <c r="K8" i="4"/>
  <c r="I17" i="4"/>
  <c r="O17" i="4" s="1"/>
  <c r="J17" i="4"/>
  <c r="I14" i="4"/>
  <c r="O14" i="4" s="1"/>
  <c r="I15" i="4"/>
  <c r="M15" i="4" s="1"/>
  <c r="I10" i="4"/>
  <c r="O10" i="4" s="1"/>
  <c r="I11" i="4"/>
  <c r="M11" i="4" s="1"/>
  <c r="O7" i="4"/>
  <c r="O13" i="4"/>
  <c r="M13" i="4"/>
  <c r="O9" i="4"/>
  <c r="M9" i="4"/>
  <c r="N16" i="4"/>
  <c r="O8" i="4"/>
  <c r="M8" i="4"/>
  <c r="N12" i="4"/>
  <c r="N14" i="4"/>
  <c r="L8" i="4"/>
  <c r="N8" i="4" s="1"/>
  <c r="J7" i="4"/>
  <c r="N7" i="4" s="1"/>
  <c r="L9" i="4"/>
  <c r="J11" i="4"/>
  <c r="N11" i="4" s="1"/>
  <c r="I12" i="4"/>
  <c r="L13" i="4"/>
  <c r="N13" i="4" s="1"/>
  <c r="J15" i="4"/>
  <c r="N15" i="4" s="1"/>
  <c r="I16" i="4"/>
  <c r="L17" i="4"/>
  <c r="K7" i="4"/>
  <c r="K11" i="4"/>
  <c r="K15" i="4"/>
  <c r="N9" i="3"/>
  <c r="L9" i="3"/>
  <c r="M12" i="3"/>
  <c r="M8" i="3"/>
  <c r="L11" i="3"/>
  <c r="N11" i="3"/>
  <c r="N17" i="3"/>
  <c r="L17" i="3"/>
  <c r="M10" i="3"/>
  <c r="I7" i="3"/>
  <c r="M7" i="3" s="1"/>
  <c r="H8" i="3"/>
  <c r="I11" i="3"/>
  <c r="M11" i="3" s="1"/>
  <c r="H12" i="3"/>
  <c r="I15" i="3"/>
  <c r="M15" i="3" s="1"/>
  <c r="H16" i="3"/>
  <c r="J7" i="3"/>
  <c r="J11" i="3"/>
  <c r="J15" i="3"/>
  <c r="L10" i="2"/>
  <c r="N12" i="2"/>
  <c r="L12" i="2"/>
  <c r="N8" i="2"/>
  <c r="L8" i="2"/>
  <c r="M15" i="2"/>
  <c r="M11" i="2"/>
  <c r="L14" i="2"/>
  <c r="H7" i="2"/>
  <c r="I10" i="2"/>
  <c r="M10" i="2" s="1"/>
  <c r="H11" i="2"/>
  <c r="I14" i="2"/>
  <c r="M14" i="2" s="1"/>
  <c r="H15" i="2"/>
  <c r="N17" i="2"/>
  <c r="J10" i="2"/>
  <c r="J14" i="2"/>
  <c r="I7" i="1"/>
  <c r="F5" i="1"/>
  <c r="I5" i="1" s="1"/>
  <c r="F6" i="1"/>
  <c r="I6" i="1" s="1"/>
  <c r="F7" i="1"/>
  <c r="H7" i="1" s="1"/>
  <c r="F8" i="1"/>
  <c r="H8" i="1" s="1"/>
  <c r="F9" i="1"/>
  <c r="F10" i="1"/>
  <c r="I10" i="1" s="1"/>
  <c r="F11" i="1"/>
  <c r="I11" i="1" s="1"/>
  <c r="F12" i="1"/>
  <c r="H12" i="1" s="1"/>
  <c r="F13" i="1"/>
  <c r="F14" i="1"/>
  <c r="I14" i="1" s="1"/>
  <c r="E5" i="1"/>
  <c r="J5" i="1" s="1"/>
  <c r="E6" i="1"/>
  <c r="E7" i="1"/>
  <c r="J7" i="1" s="1"/>
  <c r="E8" i="1"/>
  <c r="G8" i="1" s="1"/>
  <c r="K8" i="1" s="1"/>
  <c r="E9" i="1"/>
  <c r="E10" i="1"/>
  <c r="E11" i="1"/>
  <c r="G11" i="1" s="1"/>
  <c r="E12" i="1"/>
  <c r="J12" i="1" s="1"/>
  <c r="E13" i="1"/>
  <c r="E14" i="1"/>
  <c r="G4" i="1"/>
  <c r="F4" i="1"/>
  <c r="E4" i="1"/>
  <c r="J9" i="1"/>
  <c r="J13" i="1"/>
  <c r="H6" i="1"/>
  <c r="H9" i="1"/>
  <c r="L9" i="1" s="1"/>
  <c r="H10" i="1"/>
  <c r="H14" i="1" l="1"/>
  <c r="H5" i="1"/>
  <c r="G13" i="1"/>
  <c r="M13" i="1" s="1"/>
  <c r="G9" i="1"/>
  <c r="K4" i="1"/>
  <c r="I8" i="1"/>
  <c r="M10" i="4"/>
  <c r="M17" i="3"/>
  <c r="H4" i="1"/>
  <c r="J8" i="1"/>
  <c r="G14" i="1"/>
  <c r="K14" i="1" s="1"/>
  <c r="G10" i="1"/>
  <c r="K10" i="1" s="1"/>
  <c r="I4" i="1"/>
  <c r="O11" i="4"/>
  <c r="M9" i="3"/>
  <c r="M16" i="2"/>
  <c r="M8" i="2"/>
  <c r="L16" i="2"/>
  <c r="N9" i="2"/>
  <c r="N13" i="2"/>
  <c r="M12" i="2"/>
  <c r="N14" i="3"/>
  <c r="L15" i="3"/>
  <c r="N7" i="3"/>
  <c r="L13" i="3"/>
  <c r="N10" i="3"/>
  <c r="N17" i="4"/>
  <c r="N9" i="4"/>
  <c r="M17" i="4"/>
  <c r="O15" i="4"/>
  <c r="M14" i="4"/>
  <c r="M12" i="4"/>
  <c r="O12" i="4"/>
  <c r="M16" i="4"/>
  <c r="O16" i="4"/>
  <c r="L12" i="3"/>
  <c r="N12" i="3"/>
  <c r="N16" i="3"/>
  <c r="L16" i="3"/>
  <c r="L8" i="3"/>
  <c r="N8" i="3"/>
  <c r="L7" i="2"/>
  <c r="N7" i="2"/>
  <c r="N11" i="2"/>
  <c r="L11" i="2"/>
  <c r="N15" i="2"/>
  <c r="L15" i="2"/>
  <c r="M11" i="1"/>
  <c r="K11" i="1"/>
  <c r="J11" i="1"/>
  <c r="L12" i="1"/>
  <c r="H13" i="1"/>
  <c r="L13" i="1" s="1"/>
  <c r="I13" i="1"/>
  <c r="G12" i="1"/>
  <c r="I12" i="1"/>
  <c r="M9" i="1"/>
  <c r="I9" i="1"/>
  <c r="L8" i="1"/>
  <c r="L7" i="1"/>
  <c r="G7" i="1"/>
  <c r="G6" i="1"/>
  <c r="K6" i="1" s="1"/>
  <c r="L5" i="1"/>
  <c r="G5" i="1"/>
  <c r="M5" i="1" s="1"/>
  <c r="H11" i="1"/>
  <c r="L11" i="1" s="1"/>
  <c r="K9" i="1"/>
  <c r="M8" i="1"/>
  <c r="J14" i="1"/>
  <c r="J10" i="1"/>
  <c r="L10" i="1" s="1"/>
  <c r="J6" i="1"/>
  <c r="L6" i="1" s="1"/>
  <c r="M10" i="1"/>
  <c r="M4" i="1"/>
  <c r="J4" i="1"/>
  <c r="L4" i="1" s="1"/>
  <c r="L14" i="1" l="1"/>
  <c r="K5" i="1"/>
  <c r="M14" i="1"/>
  <c r="K13" i="1"/>
  <c r="M12" i="1"/>
  <c r="K12" i="1"/>
  <c r="M7" i="1"/>
  <c r="K7" i="1"/>
  <c r="M6" i="1"/>
</calcChain>
</file>

<file path=xl/sharedStrings.xml><?xml version="1.0" encoding="utf-8"?>
<sst xmlns="http://schemas.openxmlformats.org/spreadsheetml/2006/main" count="153" uniqueCount="34">
  <si>
    <t>TP</t>
  </si>
  <si>
    <t>FP</t>
  </si>
  <si>
    <t>TN</t>
  </si>
  <si>
    <t>FN</t>
  </si>
  <si>
    <t>SN</t>
  </si>
  <si>
    <t>SP</t>
  </si>
  <si>
    <t>PPV</t>
  </si>
  <si>
    <t>NPV</t>
  </si>
  <si>
    <t>F</t>
  </si>
  <si>
    <t>ACC</t>
  </si>
  <si>
    <t>P+N</t>
  </si>
  <si>
    <t>ESS</t>
  </si>
  <si>
    <t>BC</t>
  </si>
  <si>
    <t>CC</t>
  </si>
  <si>
    <t>DC</t>
  </si>
  <si>
    <t>EC</t>
  </si>
  <si>
    <t>LAC</t>
  </si>
  <si>
    <t>NC</t>
  </si>
  <si>
    <t>SC</t>
  </si>
  <si>
    <t>IC</t>
  </si>
  <si>
    <t>LIDC</t>
  </si>
  <si>
    <t>LBCC</t>
  </si>
  <si>
    <t>Methodology</t>
  </si>
  <si>
    <t>Methodologies</t>
  </si>
  <si>
    <t>Ortho_Sim_Loc</t>
  </si>
  <si>
    <t>MMA</t>
  </si>
  <si>
    <t>Comm_neigh</t>
  </si>
  <si>
    <t>YMIPS Dataset</t>
  </si>
  <si>
    <t>YDIP Dataset</t>
  </si>
  <si>
    <t>YHQ Dataset</t>
  </si>
  <si>
    <t>YMBD Dataset</t>
  </si>
  <si>
    <t>F Score</t>
  </si>
  <si>
    <t>MM-CCNB</t>
  </si>
  <si>
    <t>MM_CCNB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</si>
</sst>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900" b="1">
                <a:latin typeface="Arial" panose="020B0604020202020204" pitchFamily="34" charset="0"/>
                <a:cs typeface="Arial" panose="020B0604020202020204" pitchFamily="34" charset="0"/>
              </a:rPr>
              <a:t>Result Analysis of</a:t>
            </a:r>
            <a:r>
              <a:rPr lang="en-US" sz="900" b="1" baseline="0">
                <a:latin typeface="Arial" panose="020B0604020202020204" pitchFamily="34" charset="0"/>
                <a:cs typeface="Arial" panose="020B0604020202020204" pitchFamily="34" charset="0"/>
              </a:rPr>
              <a:t> top 20%  of YMIPS Dataset</a:t>
            </a:r>
            <a:endParaRPr 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YMIPS!$H$3</c:f>
              <c:strCache>
                <c:ptCount val="1"/>
                <c:pt idx="0">
                  <c:v>SN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YMIPS!$C$4:$C$14</c15:sqref>
                  </c15:fullRef>
                </c:ext>
              </c:extLst>
              <c:f>(YMIPS!$C$4:$C$11,YMIPS!$C$14)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YMIPS!$H$4:$H$14</c15:sqref>
                  </c15:fullRef>
                </c:ext>
              </c:extLst>
              <c:f>(YMIPS!$H$4:$H$11,YMIPS!$H$14)</c:f>
              <c:numCache>
                <c:formatCode>General</c:formatCode>
                <c:ptCount val="9"/>
                <c:pt idx="0">
                  <c:v>0.24901574803149606</c:v>
                </c:pt>
                <c:pt idx="1">
                  <c:v>0.17027559055118111</c:v>
                </c:pt>
                <c:pt idx="2">
                  <c:v>0.25098425196850394</c:v>
                </c:pt>
                <c:pt idx="3">
                  <c:v>0.13877952755905512</c:v>
                </c:pt>
                <c:pt idx="4">
                  <c:v>0.26673228346456695</c:v>
                </c:pt>
                <c:pt idx="5">
                  <c:v>0.28149606299212598</c:v>
                </c:pt>
                <c:pt idx="6">
                  <c:v>0.13877952755905512</c:v>
                </c:pt>
                <c:pt idx="7">
                  <c:v>0.25</c:v>
                </c:pt>
                <c:pt idx="8">
                  <c:v>0.32480314960629919</c:v>
                </c:pt>
              </c:numCache>
            </c:numRef>
          </c:val>
        </c:ser>
        <c:ser>
          <c:idx val="5"/>
          <c:order val="5"/>
          <c:tx>
            <c:strRef>
              <c:f>YMIPS!$I$3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YMIPS!$C$4:$C$14</c15:sqref>
                  </c15:fullRef>
                </c:ext>
              </c:extLst>
              <c:f>(YMIPS!$C$4:$C$11,YMIPS!$C$14)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YMIPS!$I$4:$I$14</c15:sqref>
                  </c15:fullRef>
                </c:ext>
              </c:extLst>
              <c:f>(YMIPS!$I$4:$I$11,YMIPS!$I$14)</c:f>
              <c:numCache>
                <c:formatCode>General</c:formatCode>
                <c:ptCount val="9"/>
                <c:pt idx="0">
                  <c:v>0.75098425196850394</c:v>
                </c:pt>
                <c:pt idx="1">
                  <c:v>0.82972440944881887</c:v>
                </c:pt>
                <c:pt idx="2">
                  <c:v>0.74901574803149606</c:v>
                </c:pt>
                <c:pt idx="3">
                  <c:v>0.86122047244094491</c:v>
                </c:pt>
                <c:pt idx="4">
                  <c:v>0.7332677165354331</c:v>
                </c:pt>
                <c:pt idx="5">
                  <c:v>0.71850393700787396</c:v>
                </c:pt>
                <c:pt idx="6">
                  <c:v>0.86122047244094491</c:v>
                </c:pt>
                <c:pt idx="7">
                  <c:v>0.75</c:v>
                </c:pt>
                <c:pt idx="8">
                  <c:v>0.67519685039370081</c:v>
                </c:pt>
              </c:numCache>
            </c:numRef>
          </c:val>
        </c:ser>
        <c:ser>
          <c:idx val="6"/>
          <c:order val="6"/>
          <c:tx>
            <c:strRef>
              <c:f>YMIPS!$J$3</c:f>
              <c:strCache>
                <c:ptCount val="1"/>
                <c:pt idx="0">
                  <c:v>PPV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YMIPS!$C$4:$C$14</c15:sqref>
                  </c15:fullRef>
                </c:ext>
              </c:extLst>
              <c:f>(YMIPS!$C$4:$C$11,YMIPS!$C$14)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YMIPS!$J$4:$J$14</c15:sqref>
                  </c15:fullRef>
                </c:ext>
              </c:extLst>
              <c:f>(YMIPS!$J$4:$J$11,YMIPS!$J$14)</c:f>
              <c:numCache>
                <c:formatCode>General</c:formatCode>
                <c:ptCount val="9"/>
                <c:pt idx="0">
                  <c:v>0.27802197802197803</c:v>
                </c:pt>
                <c:pt idx="1">
                  <c:v>0.1901098901098901</c:v>
                </c:pt>
                <c:pt idx="2">
                  <c:v>0.28021978021978022</c:v>
                </c:pt>
                <c:pt idx="3">
                  <c:v>0.15494505494505495</c:v>
                </c:pt>
                <c:pt idx="4">
                  <c:v>0.2978021978021978</c:v>
                </c:pt>
                <c:pt idx="5">
                  <c:v>0.31428571428571428</c:v>
                </c:pt>
                <c:pt idx="6">
                  <c:v>0.15494505494505495</c:v>
                </c:pt>
                <c:pt idx="7">
                  <c:v>0.27912087912087913</c:v>
                </c:pt>
                <c:pt idx="8">
                  <c:v>0.36263736263736263</c:v>
                </c:pt>
              </c:numCache>
            </c:numRef>
          </c:val>
        </c:ser>
        <c:ser>
          <c:idx val="7"/>
          <c:order val="7"/>
          <c:tx>
            <c:strRef>
              <c:f>YMIPS!$K$3</c:f>
              <c:strCache>
                <c:ptCount val="1"/>
                <c:pt idx="0">
                  <c:v>NPV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YMIPS!$C$4:$C$14</c15:sqref>
                  </c15:fullRef>
                </c:ext>
              </c:extLst>
              <c:f>(YMIPS!$C$4:$C$11,YMIPS!$C$14)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YMIPS!$K$4:$K$14</c15:sqref>
                  </c15:fullRef>
                </c:ext>
              </c:extLst>
              <c:f>(YMIPS!$K$4:$K$11,YMIPS!$K$14)</c:f>
              <c:numCache>
                <c:formatCode>General</c:formatCode>
                <c:ptCount val="9"/>
                <c:pt idx="0">
                  <c:v>0.79015401540154018</c:v>
                </c:pt>
                <c:pt idx="1">
                  <c:v>0.7681518151815182</c:v>
                </c:pt>
                <c:pt idx="2">
                  <c:v>0.79070407040704072</c:v>
                </c:pt>
                <c:pt idx="3">
                  <c:v>0.75935093509350937</c:v>
                </c:pt>
                <c:pt idx="4">
                  <c:v>0.79510451045104513</c:v>
                </c:pt>
                <c:pt idx="5">
                  <c:v>0.79922992299229922</c:v>
                </c:pt>
                <c:pt idx="6">
                  <c:v>0.75935093509350937</c:v>
                </c:pt>
                <c:pt idx="7">
                  <c:v>0.79042904290429039</c:v>
                </c:pt>
                <c:pt idx="8">
                  <c:v>0.81133113311331129</c:v>
                </c:pt>
              </c:numCache>
            </c:numRef>
          </c:val>
        </c:ser>
        <c:ser>
          <c:idx val="8"/>
          <c:order val="8"/>
          <c:tx>
            <c:strRef>
              <c:f>YMIPS!$L$3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YMIPS!$C$4:$C$14</c15:sqref>
                  </c15:fullRef>
                </c:ext>
              </c:extLst>
              <c:f>(YMIPS!$C$4:$C$11,YMIPS!$C$14)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YMIPS!$L$4:$L$14</c15:sqref>
                  </c15:fullRef>
                </c:ext>
              </c:extLst>
              <c:f>(YMIPS!$L$4:$L$11,YMIPS!$L$14)</c:f>
              <c:numCache>
                <c:formatCode>General</c:formatCode>
                <c:ptCount val="9"/>
                <c:pt idx="0">
                  <c:v>0.26272066458982352</c:v>
                </c:pt>
                <c:pt idx="1">
                  <c:v>0.17964693665628242</c:v>
                </c:pt>
                <c:pt idx="2">
                  <c:v>0.26479750778816202</c:v>
                </c:pt>
                <c:pt idx="3">
                  <c:v>0.14641744548286606</c:v>
                </c:pt>
                <c:pt idx="4">
                  <c:v>0.28141225337487019</c:v>
                </c:pt>
                <c:pt idx="5">
                  <c:v>0.29698857736240919</c:v>
                </c:pt>
                <c:pt idx="6">
                  <c:v>0.14641744548286606</c:v>
                </c:pt>
                <c:pt idx="7">
                  <c:v>0.26375908618899274</c:v>
                </c:pt>
                <c:pt idx="8">
                  <c:v>0.34267912772585668</c:v>
                </c:pt>
              </c:numCache>
            </c:numRef>
          </c:val>
        </c:ser>
        <c:ser>
          <c:idx val="9"/>
          <c:order val="9"/>
          <c:tx>
            <c:strRef>
              <c:f>YMIPS!$M$3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YMIPS!$C$4:$C$14</c15:sqref>
                  </c15:fullRef>
                </c:ext>
              </c:extLst>
              <c:f>(YMIPS!$C$4:$C$11,YMIPS!$C$14)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YMIPS!$M$4:$M$14</c15:sqref>
                  </c15:fullRef>
                </c:ext>
              </c:extLst>
              <c:f>(YMIPS!$M$4:$M$11,YMIPS!$M$14)</c:f>
              <c:numCache>
                <c:formatCode>General</c:formatCode>
                <c:ptCount val="9"/>
                <c:pt idx="0">
                  <c:v>0.68763748350197973</c:v>
                </c:pt>
                <c:pt idx="1">
                  <c:v>0.65244170699516058</c:v>
                </c:pt>
                <c:pt idx="2">
                  <c:v>0.68851737791465029</c:v>
                </c:pt>
                <c:pt idx="3">
                  <c:v>0.63836339639243289</c:v>
                </c:pt>
                <c:pt idx="4">
                  <c:v>0.69555653321601407</c:v>
                </c:pt>
                <c:pt idx="5">
                  <c:v>0.70215574131104264</c:v>
                </c:pt>
                <c:pt idx="6">
                  <c:v>0.63836339639243289</c:v>
                </c:pt>
                <c:pt idx="7">
                  <c:v>0.68807743070831495</c:v>
                </c:pt>
                <c:pt idx="8">
                  <c:v>0.72151341838979322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470280"/>
        <c:axId val="1784706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YMIPS!$D$3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YMIPS!$C$4:$C$14</c15:sqref>
                        </c15:fullRef>
                        <c15:formulaRef>
                          <c15:sqref>(YMIPS!$C$4:$C$11,YMIPS!$C$14)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Ortho_Sim_Loc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YMIPS!$D$4:$D$14</c15:sqref>
                        </c15:fullRef>
                        <c15:formulaRef>
                          <c15:sqref>(YMIPS!$D$4:$D$11,YMIPS!$D$14)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253</c:v>
                      </c:pt>
                      <c:pt idx="1">
                        <c:v>173</c:v>
                      </c:pt>
                      <c:pt idx="2">
                        <c:v>255</c:v>
                      </c:pt>
                      <c:pt idx="3">
                        <c:v>141</c:v>
                      </c:pt>
                      <c:pt idx="4">
                        <c:v>271</c:v>
                      </c:pt>
                      <c:pt idx="5">
                        <c:v>286</c:v>
                      </c:pt>
                      <c:pt idx="6">
                        <c:v>141</c:v>
                      </c:pt>
                      <c:pt idx="7">
                        <c:v>254</c:v>
                      </c:pt>
                      <c:pt idx="8">
                        <c:v>330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YMIPS!$E$3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YMIPS!$C$4:$C$14</c15:sqref>
                        </c15:fullRef>
                        <c15:formulaRef>
                          <c15:sqref>(YMIPS!$C$4:$C$11,YMIPS!$C$14)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Ortho_Sim_Loc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YMIPS!$E$4:$E$14</c15:sqref>
                        </c15:fullRef>
                        <c15:formulaRef>
                          <c15:sqref>(YMIPS!$E$4:$E$11,YMIPS!$E$14)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657</c:v>
                      </c:pt>
                      <c:pt idx="1">
                        <c:v>737</c:v>
                      </c:pt>
                      <c:pt idx="2">
                        <c:v>655</c:v>
                      </c:pt>
                      <c:pt idx="3">
                        <c:v>769</c:v>
                      </c:pt>
                      <c:pt idx="4">
                        <c:v>639</c:v>
                      </c:pt>
                      <c:pt idx="5">
                        <c:v>624</c:v>
                      </c:pt>
                      <c:pt idx="6">
                        <c:v>769</c:v>
                      </c:pt>
                      <c:pt idx="7">
                        <c:v>656</c:v>
                      </c:pt>
                      <c:pt idx="8">
                        <c:v>580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YMIPS!$F$3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YMIPS!$C$4:$C$14</c15:sqref>
                        </c15:fullRef>
                        <c15:formulaRef>
                          <c15:sqref>(YMIPS!$C$4:$C$11,YMIPS!$C$14)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Ortho_Sim_Loc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YMIPS!$F$4:$F$14</c15:sqref>
                        </c15:fullRef>
                        <c15:formulaRef>
                          <c15:sqref>(YMIPS!$F$4:$F$11,YMIPS!$F$14)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763</c:v>
                      </c:pt>
                      <c:pt idx="1">
                        <c:v>843</c:v>
                      </c:pt>
                      <c:pt idx="2">
                        <c:v>761</c:v>
                      </c:pt>
                      <c:pt idx="3">
                        <c:v>875</c:v>
                      </c:pt>
                      <c:pt idx="4">
                        <c:v>745</c:v>
                      </c:pt>
                      <c:pt idx="5">
                        <c:v>730</c:v>
                      </c:pt>
                      <c:pt idx="6">
                        <c:v>875</c:v>
                      </c:pt>
                      <c:pt idx="7">
                        <c:v>762</c:v>
                      </c:pt>
                      <c:pt idx="8">
                        <c:v>686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YMIPS!$G$3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YMIPS!$C$4:$C$14</c15:sqref>
                        </c15:fullRef>
                        <c15:formulaRef>
                          <c15:sqref>(YMIPS!$C$4:$C$11,YMIPS!$C$14)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Ortho_Sim_Loc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YMIPS!$G$4:$G$14</c15:sqref>
                        </c15:fullRef>
                        <c15:formulaRef>
                          <c15:sqref>(YMIPS!$G$4:$G$11,YMIPS!$G$14)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2873</c:v>
                      </c:pt>
                      <c:pt idx="1">
                        <c:v>2793</c:v>
                      </c:pt>
                      <c:pt idx="2">
                        <c:v>2875</c:v>
                      </c:pt>
                      <c:pt idx="3">
                        <c:v>2761</c:v>
                      </c:pt>
                      <c:pt idx="4">
                        <c:v>2891</c:v>
                      </c:pt>
                      <c:pt idx="5">
                        <c:v>2906</c:v>
                      </c:pt>
                      <c:pt idx="6">
                        <c:v>2761</c:v>
                      </c:pt>
                      <c:pt idx="7">
                        <c:v>2874</c:v>
                      </c:pt>
                      <c:pt idx="8">
                        <c:v>2950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178470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 b="1">
                    <a:latin typeface="Arial" panose="020B0604020202020204" pitchFamily="34" charset="0"/>
                    <a:cs typeface="Arial" panose="020B0604020202020204" pitchFamily="34" charset="0"/>
                  </a:rPr>
                  <a:t>Methodologies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470672"/>
        <c:crosses val="autoZero"/>
        <c:auto val="1"/>
        <c:lblAlgn val="ctr"/>
        <c:lblOffset val="100"/>
        <c:noMultiLvlLbl val="0"/>
      </c:catAx>
      <c:valAx>
        <c:axId val="17847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 b="1">
                    <a:latin typeface="Arial" panose="020B0604020202020204" pitchFamily="34" charset="0"/>
                    <a:cs typeface="Arial" panose="020B0604020202020204" pitchFamily="34" charset="0"/>
                  </a:rPr>
                  <a:t>values</a:t>
                </a:r>
                <a:r>
                  <a:rPr lang="en-US" sz="900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of Statistical measures</a:t>
                </a:r>
                <a:endParaRPr lang="en-US" sz="9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70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900" b="1">
                <a:latin typeface="Arial" panose="020B0604020202020204" pitchFamily="34" charset="0"/>
                <a:cs typeface="Arial" panose="020B0604020202020204" pitchFamily="34" charset="0"/>
              </a:rPr>
              <a:t>Result Analysis of top</a:t>
            </a:r>
            <a:r>
              <a:rPr lang="en-US" sz="900" b="1" baseline="0">
                <a:latin typeface="Arial" panose="020B0604020202020204" pitchFamily="34" charset="0"/>
                <a:cs typeface="Arial" panose="020B0604020202020204" pitchFamily="34" charset="0"/>
              </a:rPr>
              <a:t> 20% of YDIP Dataset</a:t>
            </a:r>
            <a:endParaRPr 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YDIP!$I$6</c:f>
              <c:strCache>
                <c:ptCount val="1"/>
                <c:pt idx="0">
                  <c:v>SN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YDIP!$D$7:$D$17</c15:sqref>
                  </c15:fullRef>
                </c:ext>
              </c:extLst>
              <c:f>(YDIP!$D$7:$D$14,YDIP!$D$17)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MMA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YDIP!$I$7:$I$17</c15:sqref>
                  </c15:fullRef>
                </c:ext>
              </c:extLst>
              <c:f>(YDIP!$I$7:$I$14,YDIP!$I$17)</c:f>
              <c:numCache>
                <c:formatCode>General</c:formatCode>
                <c:ptCount val="9"/>
                <c:pt idx="0">
                  <c:v>0.30934018851756639</c:v>
                </c:pt>
                <c:pt idx="1">
                  <c:v>0.31191088260497002</c:v>
                </c:pt>
                <c:pt idx="2">
                  <c:v>0.35218508997429304</c:v>
                </c:pt>
                <c:pt idx="3">
                  <c:v>0.32305055698371893</c:v>
                </c:pt>
                <c:pt idx="4">
                  <c:v>0.40359897172236503</c:v>
                </c:pt>
                <c:pt idx="5">
                  <c:v>0.39845758354755784</c:v>
                </c:pt>
                <c:pt idx="6">
                  <c:v>0.32305055698371893</c:v>
                </c:pt>
                <c:pt idx="7">
                  <c:v>0.35218508997429304</c:v>
                </c:pt>
                <c:pt idx="8">
                  <c:v>0.4490145672664953</c:v>
                </c:pt>
              </c:numCache>
            </c:numRef>
          </c:val>
        </c:ser>
        <c:ser>
          <c:idx val="5"/>
          <c:order val="5"/>
          <c:tx>
            <c:strRef>
              <c:f>YDIP!$J$6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YDIP!$D$7:$D$17</c15:sqref>
                  </c15:fullRef>
                </c:ext>
              </c:extLst>
              <c:f>(YDIP!$D$7:$D$14,YDIP!$D$17)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MMA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YDIP!$J$7:$J$17</c15:sqref>
                  </c15:fullRef>
                </c:ext>
              </c:extLst>
              <c:f>(YDIP!$J$7:$J$14,YDIP!$J$17)</c:f>
              <c:numCache>
                <c:formatCode>General</c:formatCode>
                <c:ptCount val="9"/>
                <c:pt idx="0">
                  <c:v>0.69065981148243361</c:v>
                </c:pt>
                <c:pt idx="1">
                  <c:v>0.68808911739502998</c:v>
                </c:pt>
                <c:pt idx="2">
                  <c:v>0.6478149100257069</c:v>
                </c:pt>
                <c:pt idx="3">
                  <c:v>0.67694944301628102</c:v>
                </c:pt>
                <c:pt idx="4">
                  <c:v>0.59640102827763497</c:v>
                </c:pt>
                <c:pt idx="5">
                  <c:v>0.60154241645244211</c:v>
                </c:pt>
                <c:pt idx="6">
                  <c:v>0.67694944301628102</c:v>
                </c:pt>
                <c:pt idx="7">
                  <c:v>0.6478149100257069</c:v>
                </c:pt>
                <c:pt idx="8">
                  <c:v>0.55098543273350475</c:v>
                </c:pt>
              </c:numCache>
            </c:numRef>
          </c:val>
        </c:ser>
        <c:ser>
          <c:idx val="6"/>
          <c:order val="6"/>
          <c:tx>
            <c:strRef>
              <c:f>YDIP!$K$6</c:f>
              <c:strCache>
                <c:ptCount val="1"/>
                <c:pt idx="0">
                  <c:v>PPV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YDIP!$D$7:$D$17</c15:sqref>
                  </c15:fullRef>
                </c:ext>
              </c:extLst>
              <c:f>(YDIP!$D$7:$D$14,YDIP!$D$17)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MMA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YDIP!$K$7:$K$17</c15:sqref>
                  </c15:fullRef>
                </c:ext>
              </c:extLst>
              <c:f>(YDIP!$K$7:$K$14,YDIP!$K$17)</c:f>
              <c:numCache>
                <c:formatCode>General</c:formatCode>
                <c:ptCount val="9"/>
                <c:pt idx="0">
                  <c:v>0.35426889106967613</c:v>
                </c:pt>
                <c:pt idx="1">
                  <c:v>0.35721295387634938</c:v>
                </c:pt>
                <c:pt idx="2">
                  <c:v>0.40333660451422965</c:v>
                </c:pt>
                <c:pt idx="3">
                  <c:v>0.36997055937193329</c:v>
                </c:pt>
                <c:pt idx="4">
                  <c:v>0.46221786064769382</c:v>
                </c:pt>
                <c:pt idx="5">
                  <c:v>0.45632973503434737</c:v>
                </c:pt>
                <c:pt idx="6">
                  <c:v>0.36997055937193329</c:v>
                </c:pt>
                <c:pt idx="7">
                  <c:v>0.40333660451422965</c:v>
                </c:pt>
                <c:pt idx="8">
                  <c:v>0.51422963689892054</c:v>
                </c:pt>
              </c:numCache>
            </c:numRef>
          </c:val>
        </c:ser>
        <c:ser>
          <c:idx val="7"/>
          <c:order val="7"/>
          <c:tx>
            <c:strRef>
              <c:f>YDIP!$L$6</c:f>
              <c:strCache>
                <c:ptCount val="1"/>
                <c:pt idx="0">
                  <c:v>NPV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YDIP!$D$7:$D$17</c15:sqref>
                  </c15:fullRef>
                </c:ext>
              </c:extLst>
              <c:f>(YDIP!$D$7:$D$14,YDIP!$D$17)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MMA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YDIP!$L$7:$L$17</c15:sqref>
                  </c15:fullRef>
                </c:ext>
              </c:extLst>
              <c:f>(YDIP!$L$7:$L$14,YDIP!$L$17)</c:f>
              <c:numCache>
                <c:formatCode>General</c:formatCode>
                <c:ptCount val="9"/>
                <c:pt idx="0">
                  <c:v>0.80216003927344137</c:v>
                </c:pt>
                <c:pt idx="1">
                  <c:v>0.80289641629847819</c:v>
                </c:pt>
                <c:pt idx="2">
                  <c:v>0.81443298969072164</c:v>
                </c:pt>
                <c:pt idx="3">
                  <c:v>0.80608738340697106</c:v>
                </c:pt>
                <c:pt idx="4">
                  <c:v>0.82916053019145808</c:v>
                </c:pt>
                <c:pt idx="5">
                  <c:v>0.82768777614138433</c:v>
                </c:pt>
                <c:pt idx="6">
                  <c:v>0.80608738340697106</c:v>
                </c:pt>
                <c:pt idx="7">
                  <c:v>0.81443298969072164</c:v>
                </c:pt>
                <c:pt idx="8">
                  <c:v>0.84216985763377517</c:v>
                </c:pt>
              </c:numCache>
            </c:numRef>
          </c:val>
        </c:ser>
        <c:ser>
          <c:idx val="8"/>
          <c:order val="8"/>
          <c:tx>
            <c:strRef>
              <c:f>YDIP!$M$6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YDIP!$D$7:$D$17</c15:sqref>
                  </c15:fullRef>
                </c:ext>
              </c:extLst>
              <c:f>(YDIP!$D$7:$D$14,YDIP!$D$17)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MMA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YDIP!$M$7:$M$17</c15:sqref>
                  </c15:fullRef>
                </c:ext>
              </c:extLst>
              <c:f>(YDIP!$M$7:$M$14,YDIP!$M$17)</c:f>
              <c:numCache>
                <c:formatCode>General</c:formatCode>
                <c:ptCount val="9"/>
                <c:pt idx="0">
                  <c:v>0.33028362305580972</c:v>
                </c:pt>
                <c:pt idx="1">
                  <c:v>0.33302836230558097</c:v>
                </c:pt>
                <c:pt idx="2">
                  <c:v>0.37602927721866425</c:v>
                </c:pt>
                <c:pt idx="3">
                  <c:v>0.34492223238792319</c:v>
                </c:pt>
                <c:pt idx="4">
                  <c:v>0.43092406221408974</c:v>
                </c:pt>
                <c:pt idx="5">
                  <c:v>0.42543458371454707</c:v>
                </c:pt>
                <c:pt idx="6">
                  <c:v>0.34492223238792319</c:v>
                </c:pt>
                <c:pt idx="7">
                  <c:v>0.37602927721866425</c:v>
                </c:pt>
                <c:pt idx="8">
                  <c:v>0.47941445562671542</c:v>
                </c:pt>
              </c:numCache>
            </c:numRef>
          </c:val>
        </c:ser>
        <c:ser>
          <c:idx val="9"/>
          <c:order val="9"/>
          <c:tx>
            <c:strRef>
              <c:f>YDIP!$N$6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YDIP!$D$7:$D$17</c15:sqref>
                  </c15:fullRef>
                </c:ext>
              </c:extLst>
              <c:f>(YDIP!$D$7:$D$14,YDIP!$D$17)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MMA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YDIP!$N$7:$N$17</c15:sqref>
                  </c15:fullRef>
                </c:ext>
              </c:extLst>
              <c:f>(YDIP!$N$7:$N$14,YDIP!$N$17)</c:f>
              <c:numCache>
                <c:formatCode>General</c:formatCode>
                <c:ptCount val="9"/>
                <c:pt idx="0">
                  <c:v>0.71254663263302576</c:v>
                </c:pt>
                <c:pt idx="1">
                  <c:v>0.71372472020420186</c:v>
                </c:pt>
                <c:pt idx="2">
                  <c:v>0.7321814254859611</c:v>
                </c:pt>
                <c:pt idx="3">
                  <c:v>0.71882976634596507</c:v>
                </c:pt>
                <c:pt idx="4">
                  <c:v>0.75574317690948356</c:v>
                </c:pt>
                <c:pt idx="5">
                  <c:v>0.75338700176713136</c:v>
                </c:pt>
                <c:pt idx="6">
                  <c:v>0.71882976634596507</c:v>
                </c:pt>
                <c:pt idx="7">
                  <c:v>0.7321814254859611</c:v>
                </c:pt>
                <c:pt idx="8">
                  <c:v>0.77655605733359512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472240"/>
        <c:axId val="22107942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YDIP!$E$6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YDIP!$D$7:$D$17</c15:sqref>
                        </c15:fullRef>
                        <c15:formulaRef>
                          <c15:sqref>(YDIP!$D$7:$D$14,YDIP!$D$17)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MMA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YDIP!$E$7:$E$17</c15:sqref>
                        </c15:fullRef>
                        <c15:formulaRef>
                          <c15:sqref>(YDIP!$E$7:$E$14,YDIP!$E$17)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361</c:v>
                      </c:pt>
                      <c:pt idx="1">
                        <c:v>364</c:v>
                      </c:pt>
                      <c:pt idx="2">
                        <c:v>411</c:v>
                      </c:pt>
                      <c:pt idx="3">
                        <c:v>377</c:v>
                      </c:pt>
                      <c:pt idx="4">
                        <c:v>471</c:v>
                      </c:pt>
                      <c:pt idx="5">
                        <c:v>465</c:v>
                      </c:pt>
                      <c:pt idx="6">
                        <c:v>377</c:v>
                      </c:pt>
                      <c:pt idx="7">
                        <c:v>411</c:v>
                      </c:pt>
                      <c:pt idx="8">
                        <c:v>524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YDIP!$F$6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YDIP!$D$7:$D$17</c15:sqref>
                        </c15:fullRef>
                        <c15:formulaRef>
                          <c15:sqref>(YDIP!$D$7:$D$14,YDIP!$D$17)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MMA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YDIP!$F$7:$F$17</c15:sqref>
                        </c15:fullRef>
                        <c15:formulaRef>
                          <c15:sqref>(YDIP!$F$7:$F$14,YDIP!$F$17)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658</c:v>
                      </c:pt>
                      <c:pt idx="1">
                        <c:v>655</c:v>
                      </c:pt>
                      <c:pt idx="2">
                        <c:v>608</c:v>
                      </c:pt>
                      <c:pt idx="3">
                        <c:v>642</c:v>
                      </c:pt>
                      <c:pt idx="4">
                        <c:v>548</c:v>
                      </c:pt>
                      <c:pt idx="5">
                        <c:v>554</c:v>
                      </c:pt>
                      <c:pt idx="6">
                        <c:v>642</c:v>
                      </c:pt>
                      <c:pt idx="7">
                        <c:v>608</c:v>
                      </c:pt>
                      <c:pt idx="8">
                        <c:v>495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YDIP!$G$6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YDIP!$D$7:$D$17</c15:sqref>
                        </c15:fullRef>
                        <c15:formulaRef>
                          <c15:sqref>(YDIP!$D$7:$D$14,YDIP!$D$17)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MMA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YDIP!$G$7:$G$17</c15:sqref>
                        </c15:fullRef>
                        <c15:formulaRef>
                          <c15:sqref>(YDIP!$G$7:$G$14,YDIP!$G$17)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806</c:v>
                      </c:pt>
                      <c:pt idx="1">
                        <c:v>803</c:v>
                      </c:pt>
                      <c:pt idx="2">
                        <c:v>756</c:v>
                      </c:pt>
                      <c:pt idx="3">
                        <c:v>790</c:v>
                      </c:pt>
                      <c:pt idx="4">
                        <c:v>696</c:v>
                      </c:pt>
                      <c:pt idx="5">
                        <c:v>702</c:v>
                      </c:pt>
                      <c:pt idx="6">
                        <c:v>790</c:v>
                      </c:pt>
                      <c:pt idx="7">
                        <c:v>756</c:v>
                      </c:pt>
                      <c:pt idx="8">
                        <c:v>643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YDIP!$H$6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YDIP!$D$7:$D$17</c15:sqref>
                        </c15:fullRef>
                        <c15:formulaRef>
                          <c15:sqref>(YDIP!$D$7:$D$14,YDIP!$D$17)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MMA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YDIP!$H$7:$H$17</c15:sqref>
                        </c15:fullRef>
                        <c15:formulaRef>
                          <c15:sqref>(YDIP!$H$7:$H$14,YDIP!$H$17)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3268</c:v>
                      </c:pt>
                      <c:pt idx="1">
                        <c:v>3271</c:v>
                      </c:pt>
                      <c:pt idx="2">
                        <c:v>3318</c:v>
                      </c:pt>
                      <c:pt idx="3">
                        <c:v>3284</c:v>
                      </c:pt>
                      <c:pt idx="4">
                        <c:v>3378</c:v>
                      </c:pt>
                      <c:pt idx="5">
                        <c:v>3372</c:v>
                      </c:pt>
                      <c:pt idx="6">
                        <c:v>3284</c:v>
                      </c:pt>
                      <c:pt idx="7">
                        <c:v>3318</c:v>
                      </c:pt>
                      <c:pt idx="8">
                        <c:v>3431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17847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latin typeface="Arial" panose="020B0604020202020204" pitchFamily="34" charset="0"/>
                    <a:cs typeface="Arial" panose="020B0604020202020204" pitchFamily="34" charset="0"/>
                  </a:rPr>
                  <a:t>Methodologies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079424"/>
        <c:crosses val="autoZero"/>
        <c:auto val="1"/>
        <c:lblAlgn val="ctr"/>
        <c:lblOffset val="100"/>
        <c:noMultiLvlLbl val="0"/>
      </c:catAx>
      <c:valAx>
        <c:axId val="22107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latin typeface="Arial" panose="020B0604020202020204" pitchFamily="34" charset="0"/>
                    <a:cs typeface="Arial" panose="020B0604020202020204" pitchFamily="34" charset="0"/>
                  </a:rPr>
                  <a:t>Values of Statistical measures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47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YDIP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YDIP!$I$6</c:f>
              <c:strCache>
                <c:ptCount val="1"/>
                <c:pt idx="0">
                  <c:v>SN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YDIP!$D$7:$D$18</c:f>
              <c:strCache>
                <c:ptCount val="12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LIDC</c:v>
                </c:pt>
                <c:pt idx="9">
                  <c:v>LBCC</c:v>
                </c:pt>
                <c:pt idx="10">
                  <c:v>MMA</c:v>
                </c:pt>
                <c:pt idx="11">
                  <c:v>MM-CCNB</c:v>
                </c:pt>
              </c:strCache>
            </c:strRef>
          </c:cat>
          <c:val>
            <c:numRef>
              <c:f>YDIP!$I$7:$I$18</c:f>
              <c:numCache>
                <c:formatCode>General</c:formatCode>
                <c:ptCount val="12"/>
                <c:pt idx="0">
                  <c:v>0.30934018851756639</c:v>
                </c:pt>
                <c:pt idx="1">
                  <c:v>0.31191088260497002</c:v>
                </c:pt>
                <c:pt idx="2">
                  <c:v>0.35218508997429304</c:v>
                </c:pt>
                <c:pt idx="3">
                  <c:v>0.32305055698371893</c:v>
                </c:pt>
                <c:pt idx="4">
                  <c:v>0.40359897172236503</c:v>
                </c:pt>
                <c:pt idx="5">
                  <c:v>0.39845758354755784</c:v>
                </c:pt>
                <c:pt idx="6">
                  <c:v>0.32305055698371893</c:v>
                </c:pt>
                <c:pt idx="7">
                  <c:v>0.35218508997429304</c:v>
                </c:pt>
                <c:pt idx="8">
                  <c:v>0.44644387317909168</c:v>
                </c:pt>
                <c:pt idx="9">
                  <c:v>0.44815766923736078</c:v>
                </c:pt>
                <c:pt idx="10">
                  <c:v>0.4490145672664953</c:v>
                </c:pt>
                <c:pt idx="11">
                  <c:v>0.45844044558697516</c:v>
                </c:pt>
              </c:numCache>
            </c:numRef>
          </c:val>
        </c:ser>
        <c:ser>
          <c:idx val="1"/>
          <c:order val="1"/>
          <c:tx>
            <c:strRef>
              <c:f>YDIP!$J$6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YDIP!$D$7:$D$18</c:f>
              <c:strCache>
                <c:ptCount val="12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LIDC</c:v>
                </c:pt>
                <c:pt idx="9">
                  <c:v>LBCC</c:v>
                </c:pt>
                <c:pt idx="10">
                  <c:v>MMA</c:v>
                </c:pt>
                <c:pt idx="11">
                  <c:v>MM-CCNB</c:v>
                </c:pt>
              </c:strCache>
            </c:strRef>
          </c:cat>
          <c:val>
            <c:numRef>
              <c:f>YDIP!$J$7:$J$18</c:f>
              <c:numCache>
                <c:formatCode>General</c:formatCode>
                <c:ptCount val="12"/>
                <c:pt idx="0">
                  <c:v>0.69065981148243361</c:v>
                </c:pt>
                <c:pt idx="1">
                  <c:v>0.68808911739502998</c:v>
                </c:pt>
                <c:pt idx="2">
                  <c:v>0.6478149100257069</c:v>
                </c:pt>
                <c:pt idx="3">
                  <c:v>0.67694944301628102</c:v>
                </c:pt>
                <c:pt idx="4">
                  <c:v>0.59640102827763497</c:v>
                </c:pt>
                <c:pt idx="5">
                  <c:v>0.60154241645244211</c:v>
                </c:pt>
                <c:pt idx="6">
                  <c:v>0.67694944301628102</c:v>
                </c:pt>
                <c:pt idx="7">
                  <c:v>0.6478149100257069</c:v>
                </c:pt>
                <c:pt idx="8">
                  <c:v>0.55355612682090827</c:v>
                </c:pt>
                <c:pt idx="9">
                  <c:v>0.55184233076263922</c:v>
                </c:pt>
                <c:pt idx="10">
                  <c:v>0.55098543273350475</c:v>
                </c:pt>
                <c:pt idx="11">
                  <c:v>0.54155955441302484</c:v>
                </c:pt>
              </c:numCache>
            </c:numRef>
          </c:val>
        </c:ser>
        <c:ser>
          <c:idx val="2"/>
          <c:order val="2"/>
          <c:tx>
            <c:strRef>
              <c:f>YDIP!$K$6</c:f>
              <c:strCache>
                <c:ptCount val="1"/>
                <c:pt idx="0">
                  <c:v>PPV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YDIP!$D$7:$D$18</c:f>
              <c:strCache>
                <c:ptCount val="12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LIDC</c:v>
                </c:pt>
                <c:pt idx="9">
                  <c:v>LBCC</c:v>
                </c:pt>
                <c:pt idx="10">
                  <c:v>MMA</c:v>
                </c:pt>
                <c:pt idx="11">
                  <c:v>MM-CCNB</c:v>
                </c:pt>
              </c:strCache>
            </c:strRef>
          </c:cat>
          <c:val>
            <c:numRef>
              <c:f>YDIP!$K$7:$K$18</c:f>
              <c:numCache>
                <c:formatCode>General</c:formatCode>
                <c:ptCount val="12"/>
                <c:pt idx="0">
                  <c:v>0.35426889106967613</c:v>
                </c:pt>
                <c:pt idx="1">
                  <c:v>0.35721295387634938</c:v>
                </c:pt>
                <c:pt idx="2">
                  <c:v>0.40333660451422965</c:v>
                </c:pt>
                <c:pt idx="3">
                  <c:v>0.36997055937193329</c:v>
                </c:pt>
                <c:pt idx="4">
                  <c:v>0.46221786064769382</c:v>
                </c:pt>
                <c:pt idx="5">
                  <c:v>0.45632973503434737</c:v>
                </c:pt>
                <c:pt idx="6">
                  <c:v>0.36997055937193329</c:v>
                </c:pt>
                <c:pt idx="7">
                  <c:v>0.40333660451422965</c:v>
                </c:pt>
                <c:pt idx="8">
                  <c:v>0.51128557409224729</c:v>
                </c:pt>
                <c:pt idx="9">
                  <c:v>0.51324828263002942</c:v>
                </c:pt>
                <c:pt idx="10">
                  <c:v>0.51422963689892054</c:v>
                </c:pt>
                <c:pt idx="11">
                  <c:v>0.52502453385672232</c:v>
                </c:pt>
              </c:numCache>
            </c:numRef>
          </c:val>
        </c:ser>
        <c:ser>
          <c:idx val="3"/>
          <c:order val="3"/>
          <c:tx>
            <c:strRef>
              <c:f>YDIP!$L$6</c:f>
              <c:strCache>
                <c:ptCount val="1"/>
                <c:pt idx="0">
                  <c:v>NPV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YDIP!$D$7:$D$18</c:f>
              <c:strCache>
                <c:ptCount val="12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LIDC</c:v>
                </c:pt>
                <c:pt idx="9">
                  <c:v>LBCC</c:v>
                </c:pt>
                <c:pt idx="10">
                  <c:v>MMA</c:v>
                </c:pt>
                <c:pt idx="11">
                  <c:v>MM-CCNB</c:v>
                </c:pt>
              </c:strCache>
            </c:strRef>
          </c:cat>
          <c:val>
            <c:numRef>
              <c:f>YDIP!$L$7:$L$18</c:f>
              <c:numCache>
                <c:formatCode>General</c:formatCode>
                <c:ptCount val="12"/>
                <c:pt idx="0">
                  <c:v>0.80216003927344137</c:v>
                </c:pt>
                <c:pt idx="1">
                  <c:v>0.80289641629847819</c:v>
                </c:pt>
                <c:pt idx="2">
                  <c:v>0.81443298969072164</c:v>
                </c:pt>
                <c:pt idx="3">
                  <c:v>0.80608738340697106</c:v>
                </c:pt>
                <c:pt idx="4">
                  <c:v>0.82916053019145808</c:v>
                </c:pt>
                <c:pt idx="5">
                  <c:v>0.82768777614138433</c:v>
                </c:pt>
                <c:pt idx="6">
                  <c:v>0.80608738340697106</c:v>
                </c:pt>
                <c:pt idx="7">
                  <c:v>0.81443298969072164</c:v>
                </c:pt>
                <c:pt idx="8">
                  <c:v>0.84143348060873835</c:v>
                </c:pt>
                <c:pt idx="9">
                  <c:v>0.84192439862542956</c:v>
                </c:pt>
                <c:pt idx="10">
                  <c:v>0.84216985763377517</c:v>
                </c:pt>
                <c:pt idx="11">
                  <c:v>0.84486990672557682</c:v>
                </c:pt>
              </c:numCache>
            </c:numRef>
          </c:val>
        </c:ser>
        <c:ser>
          <c:idx val="4"/>
          <c:order val="4"/>
          <c:tx>
            <c:strRef>
              <c:f>YDIP!$M$6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YDIP!$D$7:$D$18</c:f>
              <c:strCache>
                <c:ptCount val="12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LIDC</c:v>
                </c:pt>
                <c:pt idx="9">
                  <c:v>LBCC</c:v>
                </c:pt>
                <c:pt idx="10">
                  <c:v>MMA</c:v>
                </c:pt>
                <c:pt idx="11">
                  <c:v>MM-CCNB</c:v>
                </c:pt>
              </c:strCache>
            </c:strRef>
          </c:cat>
          <c:val>
            <c:numRef>
              <c:f>YDIP!$M$7:$M$18</c:f>
              <c:numCache>
                <c:formatCode>General</c:formatCode>
                <c:ptCount val="12"/>
                <c:pt idx="0">
                  <c:v>0.33028362305580972</c:v>
                </c:pt>
                <c:pt idx="1">
                  <c:v>0.33302836230558097</c:v>
                </c:pt>
                <c:pt idx="2">
                  <c:v>0.37602927721866425</c:v>
                </c:pt>
                <c:pt idx="3">
                  <c:v>0.34492223238792319</c:v>
                </c:pt>
                <c:pt idx="4">
                  <c:v>0.43092406221408974</c:v>
                </c:pt>
                <c:pt idx="5">
                  <c:v>0.42543458371454707</c:v>
                </c:pt>
                <c:pt idx="6">
                  <c:v>0.34492223238792319</c:v>
                </c:pt>
                <c:pt idx="7">
                  <c:v>0.37602927721866425</c:v>
                </c:pt>
                <c:pt idx="8">
                  <c:v>0.47666971637694422</c:v>
                </c:pt>
                <c:pt idx="9">
                  <c:v>0.47849954254345839</c:v>
                </c:pt>
                <c:pt idx="10">
                  <c:v>0.47941445562671542</c:v>
                </c:pt>
                <c:pt idx="11">
                  <c:v>0.48947849954254347</c:v>
                </c:pt>
              </c:numCache>
            </c:numRef>
          </c:val>
        </c:ser>
        <c:ser>
          <c:idx val="5"/>
          <c:order val="5"/>
          <c:tx>
            <c:strRef>
              <c:f>YDIP!$N$6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YDIP!$D$7:$D$18</c:f>
              <c:strCache>
                <c:ptCount val="12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LIDC</c:v>
                </c:pt>
                <c:pt idx="9">
                  <c:v>LBCC</c:v>
                </c:pt>
                <c:pt idx="10">
                  <c:v>MMA</c:v>
                </c:pt>
                <c:pt idx="11">
                  <c:v>MM-CCNB</c:v>
                </c:pt>
              </c:strCache>
            </c:strRef>
          </c:cat>
          <c:val>
            <c:numRef>
              <c:f>YDIP!$N$7:$N$18</c:f>
              <c:numCache>
                <c:formatCode>General</c:formatCode>
                <c:ptCount val="12"/>
                <c:pt idx="0">
                  <c:v>0.71254663263302576</c:v>
                </c:pt>
                <c:pt idx="1">
                  <c:v>0.71372472020420186</c:v>
                </c:pt>
                <c:pt idx="2">
                  <c:v>0.7321814254859611</c:v>
                </c:pt>
                <c:pt idx="3">
                  <c:v>0.71882976634596507</c:v>
                </c:pt>
                <c:pt idx="4">
                  <c:v>0.75574317690948356</c:v>
                </c:pt>
                <c:pt idx="5">
                  <c:v>0.75338700176713136</c:v>
                </c:pt>
                <c:pt idx="6">
                  <c:v>0.71882976634596507</c:v>
                </c:pt>
                <c:pt idx="7">
                  <c:v>0.7321814254859611</c:v>
                </c:pt>
                <c:pt idx="8">
                  <c:v>0.77537796976241902</c:v>
                </c:pt>
                <c:pt idx="9">
                  <c:v>0.77616336147653642</c:v>
                </c:pt>
                <c:pt idx="10">
                  <c:v>0.77655605733359512</c:v>
                </c:pt>
                <c:pt idx="11">
                  <c:v>0.78087571176124093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079032"/>
        <c:axId val="221077464"/>
      </c:barChart>
      <c:catAx>
        <c:axId val="22107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077464"/>
        <c:crosses val="autoZero"/>
        <c:auto val="1"/>
        <c:lblAlgn val="ctr"/>
        <c:lblOffset val="100"/>
        <c:noMultiLvlLbl val="0"/>
      </c:catAx>
      <c:valAx>
        <c:axId val="221077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07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latin typeface="Arial" panose="020B0604020202020204" pitchFamily="34" charset="0"/>
                <a:cs typeface="Arial" panose="020B0604020202020204" pitchFamily="34" charset="0"/>
              </a:rPr>
              <a:t>Result Analysis of top 20%of YHQ dataset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YHQ!$I$6</c:f>
              <c:strCache>
                <c:ptCount val="1"/>
                <c:pt idx="0">
                  <c:v>SN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YHQ!$D$7:$D$17</c15:sqref>
                  </c15:fullRef>
                </c:ext>
              </c:extLst>
              <c:f>(YHQ!$D$7:$D$14,YHQ!$D$17)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YHQ!$I$7:$I$17</c15:sqref>
                  </c15:fullRef>
                </c:ext>
              </c:extLst>
              <c:f>(YHQ!$I$7:$I$14,YHQ!$I$17)</c:f>
              <c:numCache>
                <c:formatCode>General</c:formatCode>
                <c:ptCount val="9"/>
                <c:pt idx="0">
                  <c:v>0.33032490974729239</c:v>
                </c:pt>
                <c:pt idx="1">
                  <c:v>0.34476534296028882</c:v>
                </c:pt>
                <c:pt idx="2">
                  <c:v>0.40523465703971118</c:v>
                </c:pt>
                <c:pt idx="3">
                  <c:v>0.29061371841155237</c:v>
                </c:pt>
                <c:pt idx="4">
                  <c:v>0.4296028880866426</c:v>
                </c:pt>
                <c:pt idx="5">
                  <c:v>0.43411552346570398</c:v>
                </c:pt>
                <c:pt idx="6">
                  <c:v>0.29061371841155237</c:v>
                </c:pt>
                <c:pt idx="7">
                  <c:v>0.40523465703971118</c:v>
                </c:pt>
                <c:pt idx="8">
                  <c:v>0.44945848375451264</c:v>
                </c:pt>
              </c:numCache>
            </c:numRef>
          </c:val>
        </c:ser>
        <c:ser>
          <c:idx val="5"/>
          <c:order val="5"/>
          <c:tx>
            <c:strRef>
              <c:f>YHQ!$J$6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YHQ!$D$7:$D$17</c15:sqref>
                  </c15:fullRef>
                </c:ext>
              </c:extLst>
              <c:f>(YHQ!$D$7:$D$14,YHQ!$D$17)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YHQ!$J$7:$J$17</c15:sqref>
                  </c15:fullRef>
                </c:ext>
              </c:extLst>
              <c:f>(YHQ!$J$7:$J$14,YHQ!$J$17)</c:f>
              <c:numCache>
                <c:formatCode>General</c:formatCode>
                <c:ptCount val="9"/>
                <c:pt idx="0">
                  <c:v>0.66967509025270755</c:v>
                </c:pt>
                <c:pt idx="1">
                  <c:v>0.65523465703971118</c:v>
                </c:pt>
                <c:pt idx="2">
                  <c:v>0.59476534296028882</c:v>
                </c:pt>
                <c:pt idx="3">
                  <c:v>0.70938628158844763</c:v>
                </c:pt>
                <c:pt idx="4">
                  <c:v>0.5703971119133574</c:v>
                </c:pt>
                <c:pt idx="5">
                  <c:v>0.56588447653429608</c:v>
                </c:pt>
                <c:pt idx="6">
                  <c:v>0.70938628158844763</c:v>
                </c:pt>
                <c:pt idx="7">
                  <c:v>0.59476534296028882</c:v>
                </c:pt>
                <c:pt idx="8">
                  <c:v>0.55054151624548742</c:v>
                </c:pt>
              </c:numCache>
            </c:numRef>
          </c:val>
        </c:ser>
        <c:ser>
          <c:idx val="6"/>
          <c:order val="6"/>
          <c:tx>
            <c:strRef>
              <c:f>YHQ!$K$6</c:f>
              <c:strCache>
                <c:ptCount val="1"/>
                <c:pt idx="0">
                  <c:v>PPV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YHQ!$D$7:$D$17</c15:sqref>
                  </c15:fullRef>
                </c:ext>
              </c:extLst>
              <c:f>(YHQ!$D$7:$D$14,YHQ!$D$17)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YHQ!$K$7:$K$17</c15:sqref>
                  </c15:fullRef>
                </c:ext>
              </c:extLst>
              <c:f>(YHQ!$K$7:$K$14,YHQ!$K$17)</c:f>
              <c:numCache>
                <c:formatCode>General</c:formatCode>
                <c:ptCount val="9"/>
                <c:pt idx="0">
                  <c:v>0.3856691253951528</c:v>
                </c:pt>
                <c:pt idx="1">
                  <c:v>0.40252897787144365</c:v>
                </c:pt>
                <c:pt idx="2">
                  <c:v>0.47312961011591148</c:v>
                </c:pt>
                <c:pt idx="3">
                  <c:v>0.33930453108535302</c:v>
                </c:pt>
                <c:pt idx="4">
                  <c:v>0.50158061116965225</c:v>
                </c:pt>
                <c:pt idx="5">
                  <c:v>0.50684931506849318</c:v>
                </c:pt>
                <c:pt idx="6">
                  <c:v>0.33930453108535302</c:v>
                </c:pt>
                <c:pt idx="7">
                  <c:v>0.47312961011591148</c:v>
                </c:pt>
                <c:pt idx="8">
                  <c:v>0.52476290832455219</c:v>
                </c:pt>
              </c:numCache>
            </c:numRef>
          </c:val>
        </c:ser>
        <c:ser>
          <c:idx val="7"/>
          <c:order val="7"/>
          <c:tx>
            <c:strRef>
              <c:f>YHQ!$L$6</c:f>
              <c:strCache>
                <c:ptCount val="1"/>
                <c:pt idx="0">
                  <c:v>NPV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YHQ!$D$7:$D$17</c15:sqref>
                  </c15:fullRef>
                </c:ext>
              </c:extLst>
              <c:f>(YHQ!$D$7:$D$14,YHQ!$D$17)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YHQ!$L$7:$L$17</c15:sqref>
                  </c15:fullRef>
                </c:ext>
              </c:extLst>
              <c:f>(YHQ!$L$7:$L$14,YHQ!$L$17)</c:f>
              <c:numCache>
                <c:formatCode>General</c:formatCode>
                <c:ptCount val="9"/>
                <c:pt idx="0">
                  <c:v>0.80442804428044279</c:v>
                </c:pt>
                <c:pt idx="1">
                  <c:v>0.80864522930943594</c:v>
                </c:pt>
                <c:pt idx="2">
                  <c:v>0.82630469161834474</c:v>
                </c:pt>
                <c:pt idx="3">
                  <c:v>0.79283078545071162</c:v>
                </c:pt>
                <c:pt idx="4">
                  <c:v>0.83342119135477066</c:v>
                </c:pt>
                <c:pt idx="5">
                  <c:v>0.83473906167633105</c:v>
                </c:pt>
                <c:pt idx="6">
                  <c:v>0.79283078545071162</c:v>
                </c:pt>
                <c:pt idx="7">
                  <c:v>0.82630469161834474</c:v>
                </c:pt>
                <c:pt idx="8">
                  <c:v>0.8392198207696363</c:v>
                </c:pt>
              </c:numCache>
            </c:numRef>
          </c:val>
        </c:ser>
        <c:ser>
          <c:idx val="8"/>
          <c:order val="8"/>
          <c:tx>
            <c:strRef>
              <c:f>YHQ!$M$6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YHQ!$D$7:$D$17</c15:sqref>
                  </c15:fullRef>
                </c:ext>
              </c:extLst>
              <c:f>(YHQ!$D$7:$D$14,YHQ!$D$17)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YHQ!$M$7:$M$17</c15:sqref>
                  </c15:fullRef>
                </c:ext>
              </c:extLst>
              <c:f>(YHQ!$M$7:$M$14,YHQ!$M$17)</c:f>
              <c:numCache>
                <c:formatCode>General</c:formatCode>
                <c:ptCount val="9"/>
                <c:pt idx="0">
                  <c:v>0.35585804569761786</c:v>
                </c:pt>
                <c:pt idx="1">
                  <c:v>0.37141468157510937</c:v>
                </c:pt>
                <c:pt idx="2">
                  <c:v>0.43655809431210502</c:v>
                </c:pt>
                <c:pt idx="3">
                  <c:v>0.31307729703451631</c:v>
                </c:pt>
                <c:pt idx="4">
                  <c:v>0.46280991735537186</c:v>
                </c:pt>
                <c:pt idx="5">
                  <c:v>0.46767136606708803</c:v>
                </c:pt>
                <c:pt idx="6">
                  <c:v>0.31307729703451631</c:v>
                </c:pt>
                <c:pt idx="7">
                  <c:v>0.43655809431210502</c:v>
                </c:pt>
                <c:pt idx="8">
                  <c:v>0.48420029168692275</c:v>
                </c:pt>
              </c:numCache>
            </c:numRef>
          </c:val>
        </c:ser>
        <c:ser>
          <c:idx val="9"/>
          <c:order val="9"/>
          <c:tx>
            <c:strRef>
              <c:f>YHQ!$N$6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YHQ!$D$7:$D$17</c15:sqref>
                  </c15:fullRef>
                </c:ext>
              </c:extLst>
              <c:f>(YHQ!$D$7:$D$14,YHQ!$D$17)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YHQ!$N$7:$N$17</c15:sqref>
                  </c15:fullRef>
                </c:ext>
              </c:extLst>
              <c:f>(YHQ!$N$7:$N$14,YHQ!$N$17)</c:f>
              <c:numCache>
                <c:formatCode>General</c:formatCode>
                <c:ptCount val="9"/>
                <c:pt idx="0">
                  <c:v>0.72064094454986294</c:v>
                </c:pt>
                <c:pt idx="1">
                  <c:v>0.72738772928526252</c:v>
                </c:pt>
                <c:pt idx="2">
                  <c:v>0.7556398903647481</c:v>
                </c:pt>
                <c:pt idx="3">
                  <c:v>0.70208728652751418</c:v>
                </c:pt>
                <c:pt idx="4">
                  <c:v>0.76702508960573479</c:v>
                </c:pt>
                <c:pt idx="5">
                  <c:v>0.76913345983554715</c:v>
                </c:pt>
                <c:pt idx="6">
                  <c:v>0.70208728652751418</c:v>
                </c:pt>
                <c:pt idx="7">
                  <c:v>0.7556398903647481</c:v>
                </c:pt>
                <c:pt idx="8">
                  <c:v>0.77630191861690911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078248"/>
        <c:axId val="221078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YHQ!$E$6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YHQ!$D$7:$D$17</c15:sqref>
                        </c15:fullRef>
                        <c15:formulaRef>
                          <c15:sqref>(YHQ!$D$7:$D$14,YHQ!$D$17)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Ortho_Sim_Loc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YHQ!$E$7:$E$17</c15:sqref>
                        </c15:fullRef>
                        <c15:formulaRef>
                          <c15:sqref>(YHQ!$E$7:$E$14,YHQ!$E$17)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366</c:v>
                      </c:pt>
                      <c:pt idx="1">
                        <c:v>382</c:v>
                      </c:pt>
                      <c:pt idx="2">
                        <c:v>449</c:v>
                      </c:pt>
                      <c:pt idx="3">
                        <c:v>322</c:v>
                      </c:pt>
                      <c:pt idx="4">
                        <c:v>476</c:v>
                      </c:pt>
                      <c:pt idx="5">
                        <c:v>481</c:v>
                      </c:pt>
                      <c:pt idx="6">
                        <c:v>322</c:v>
                      </c:pt>
                      <c:pt idx="7">
                        <c:v>449</c:v>
                      </c:pt>
                      <c:pt idx="8">
                        <c:v>498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YHQ!$F$6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YHQ!$D$7:$D$17</c15:sqref>
                        </c15:fullRef>
                        <c15:formulaRef>
                          <c15:sqref>(YHQ!$D$7:$D$14,YHQ!$D$17)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Ortho_Sim_Loc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YHQ!$F$7:$F$17</c15:sqref>
                        </c15:fullRef>
                        <c15:formulaRef>
                          <c15:sqref>(YHQ!$F$7:$F$14,YHQ!$F$17)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583</c:v>
                      </c:pt>
                      <c:pt idx="1">
                        <c:v>567</c:v>
                      </c:pt>
                      <c:pt idx="2">
                        <c:v>500</c:v>
                      </c:pt>
                      <c:pt idx="3">
                        <c:v>627</c:v>
                      </c:pt>
                      <c:pt idx="4">
                        <c:v>473</c:v>
                      </c:pt>
                      <c:pt idx="5">
                        <c:v>468</c:v>
                      </c:pt>
                      <c:pt idx="6">
                        <c:v>627</c:v>
                      </c:pt>
                      <c:pt idx="7">
                        <c:v>500</c:v>
                      </c:pt>
                      <c:pt idx="8">
                        <c:v>451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YHQ!$G$6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YHQ!$D$7:$D$17</c15:sqref>
                        </c15:fullRef>
                        <c15:formulaRef>
                          <c15:sqref>(YHQ!$D$7:$D$14,YHQ!$D$17)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Ortho_Sim_Loc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YHQ!$G$7:$G$17</c15:sqref>
                        </c15:fullRef>
                        <c15:formulaRef>
                          <c15:sqref>(YHQ!$G$7:$G$14,YHQ!$G$17)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742</c:v>
                      </c:pt>
                      <c:pt idx="1">
                        <c:v>726</c:v>
                      </c:pt>
                      <c:pt idx="2">
                        <c:v>659</c:v>
                      </c:pt>
                      <c:pt idx="3">
                        <c:v>786</c:v>
                      </c:pt>
                      <c:pt idx="4">
                        <c:v>632</c:v>
                      </c:pt>
                      <c:pt idx="5">
                        <c:v>627</c:v>
                      </c:pt>
                      <c:pt idx="6">
                        <c:v>786</c:v>
                      </c:pt>
                      <c:pt idx="7">
                        <c:v>659</c:v>
                      </c:pt>
                      <c:pt idx="8">
                        <c:v>610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YHQ!$H$6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YHQ!$D$7:$D$17</c15:sqref>
                        </c15:fullRef>
                        <c15:formulaRef>
                          <c15:sqref>(YHQ!$D$7:$D$14,YHQ!$D$17)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Ortho_Sim_Loc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YHQ!$H$7:$H$17</c15:sqref>
                        </c15:fullRef>
                        <c15:formulaRef>
                          <c15:sqref>(YHQ!$H$7:$H$14,YHQ!$H$17)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3052</c:v>
                      </c:pt>
                      <c:pt idx="1">
                        <c:v>3068</c:v>
                      </c:pt>
                      <c:pt idx="2">
                        <c:v>3135</c:v>
                      </c:pt>
                      <c:pt idx="3">
                        <c:v>3008</c:v>
                      </c:pt>
                      <c:pt idx="4">
                        <c:v>3162</c:v>
                      </c:pt>
                      <c:pt idx="5">
                        <c:v>3167</c:v>
                      </c:pt>
                      <c:pt idx="6">
                        <c:v>3008</c:v>
                      </c:pt>
                      <c:pt idx="7">
                        <c:v>3135</c:v>
                      </c:pt>
                      <c:pt idx="8">
                        <c:v>3184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221078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latin typeface="Arial" panose="020B0604020202020204" pitchFamily="34" charset="0"/>
                    <a:cs typeface="Arial" panose="020B0604020202020204" pitchFamily="34" charset="0"/>
                  </a:rPr>
                  <a:t>Methodologies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078640"/>
        <c:crosses val="autoZero"/>
        <c:auto val="1"/>
        <c:lblAlgn val="ctr"/>
        <c:lblOffset val="100"/>
        <c:noMultiLvlLbl val="0"/>
      </c:catAx>
      <c:valAx>
        <c:axId val="22107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latin typeface="Arial" panose="020B0604020202020204" pitchFamily="34" charset="0"/>
                    <a:cs typeface="Arial" panose="020B0604020202020204" pitchFamily="34" charset="0"/>
                  </a:rPr>
                  <a:t>Values of Statistical measures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07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latin typeface="Arial" panose="020B0604020202020204" pitchFamily="34" charset="0"/>
                <a:cs typeface="Arial" panose="020B0604020202020204" pitchFamily="34" charset="0"/>
              </a:rPr>
              <a:t>Result Analysis of top 20% of YMDB Dataset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YMDB!$J$6</c:f>
              <c:strCache>
                <c:ptCount val="1"/>
                <c:pt idx="0">
                  <c:v>SN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YMDB!$E$7:$E$17</c15:sqref>
                  </c15:fullRef>
                </c:ext>
              </c:extLst>
              <c:f>(YMDB!$E$7:$E$14,YMDB!$E$17)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YMDB!$J$7:$J$17</c15:sqref>
                  </c15:fullRef>
                </c:ext>
              </c:extLst>
              <c:f>(YMDB!$J$7:$J$14,YMDB!$J$17)</c:f>
              <c:numCache>
                <c:formatCode>General</c:formatCode>
                <c:ptCount val="9"/>
                <c:pt idx="0">
                  <c:v>0.28309305373525556</c:v>
                </c:pt>
                <c:pt idx="1">
                  <c:v>0.26998689384010482</c:v>
                </c:pt>
                <c:pt idx="2">
                  <c:v>0.26212319790301442</c:v>
                </c:pt>
                <c:pt idx="3">
                  <c:v>0.2398427260812582</c:v>
                </c:pt>
                <c:pt idx="4">
                  <c:v>0.27653997378768019</c:v>
                </c:pt>
                <c:pt idx="5">
                  <c:v>0.27391874180865006</c:v>
                </c:pt>
                <c:pt idx="6">
                  <c:v>0.2398427260812582</c:v>
                </c:pt>
                <c:pt idx="7">
                  <c:v>0.26212319790301442</c:v>
                </c:pt>
                <c:pt idx="8">
                  <c:v>0.33420707732634336</c:v>
                </c:pt>
              </c:numCache>
            </c:numRef>
          </c:val>
        </c:ser>
        <c:ser>
          <c:idx val="5"/>
          <c:order val="5"/>
          <c:tx>
            <c:strRef>
              <c:f>YMDB!$K$6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YMDB!$E$7:$E$17</c15:sqref>
                  </c15:fullRef>
                </c:ext>
              </c:extLst>
              <c:f>(YMDB!$E$7:$E$14,YMDB!$E$17)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YMDB!$K$7:$K$17</c15:sqref>
                  </c15:fullRef>
                </c:ext>
              </c:extLst>
              <c:f>(YMDB!$K$7:$K$14,YMDB!$K$17)</c:f>
              <c:numCache>
                <c:formatCode>General</c:formatCode>
                <c:ptCount val="9"/>
                <c:pt idx="0">
                  <c:v>0.71690694626474438</c:v>
                </c:pt>
                <c:pt idx="1">
                  <c:v>0.73001310615989512</c:v>
                </c:pt>
                <c:pt idx="2">
                  <c:v>0.73787680209698558</c:v>
                </c:pt>
                <c:pt idx="3">
                  <c:v>0.76015727391874177</c:v>
                </c:pt>
                <c:pt idx="4">
                  <c:v>0.72346002621231975</c:v>
                </c:pt>
                <c:pt idx="5">
                  <c:v>0.72608125819134994</c:v>
                </c:pt>
                <c:pt idx="6">
                  <c:v>0.76015727391874177</c:v>
                </c:pt>
                <c:pt idx="7">
                  <c:v>0.73787680209698558</c:v>
                </c:pt>
                <c:pt idx="8">
                  <c:v>0.66579292267365664</c:v>
                </c:pt>
              </c:numCache>
            </c:numRef>
          </c:val>
        </c:ser>
        <c:ser>
          <c:idx val="6"/>
          <c:order val="6"/>
          <c:tx>
            <c:strRef>
              <c:f>YMDB!$L$6</c:f>
              <c:strCache>
                <c:ptCount val="1"/>
                <c:pt idx="0">
                  <c:v>PPV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YMDB!$E$7:$E$17</c15:sqref>
                  </c15:fullRef>
                </c:ext>
              </c:extLst>
              <c:f>(YMDB!$E$7:$E$14,YMDB!$E$17)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YMDB!$L$7:$L$17</c15:sqref>
                  </c15:fullRef>
                </c:ext>
              </c:extLst>
              <c:f>(YMDB!$L$7:$L$14,YMDB!$L$17)</c:f>
              <c:numCache>
                <c:formatCode>General</c:formatCode>
                <c:ptCount val="9"/>
                <c:pt idx="0">
                  <c:v>0.421875</c:v>
                </c:pt>
                <c:pt idx="1">
                  <c:v>0.40234375</c:v>
                </c:pt>
                <c:pt idx="2">
                  <c:v>0.390625</c:v>
                </c:pt>
                <c:pt idx="3">
                  <c:v>0.357421875</c:v>
                </c:pt>
                <c:pt idx="4">
                  <c:v>0.412109375</c:v>
                </c:pt>
                <c:pt idx="5">
                  <c:v>0.408203125</c:v>
                </c:pt>
                <c:pt idx="6">
                  <c:v>0.357421875</c:v>
                </c:pt>
                <c:pt idx="7">
                  <c:v>0.390625</c:v>
                </c:pt>
                <c:pt idx="8">
                  <c:v>0.498046875</c:v>
                </c:pt>
              </c:numCache>
            </c:numRef>
          </c:val>
        </c:ser>
        <c:ser>
          <c:idx val="7"/>
          <c:order val="7"/>
          <c:tx>
            <c:strRef>
              <c:f>YMDB!$M$6</c:f>
              <c:strCache>
                <c:ptCount val="1"/>
                <c:pt idx="0">
                  <c:v>NPV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YMDB!$E$7:$E$17</c15:sqref>
                  </c15:fullRef>
                </c:ext>
              </c:extLst>
              <c:f>(YMDB!$E$7:$E$14,YMDB!$E$17)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YMDB!$M$7:$M$17</c15:sqref>
                  </c15:fullRef>
                </c:ext>
              </c:extLst>
              <c:f>(YMDB!$M$7:$M$14,YMDB!$M$17)</c:f>
              <c:numCache>
                <c:formatCode>General</c:formatCode>
                <c:ptCount val="9"/>
                <c:pt idx="0">
                  <c:v>0.73277967757694185</c:v>
                </c:pt>
                <c:pt idx="1">
                  <c:v>0.72789447972642896</c:v>
                </c:pt>
                <c:pt idx="2">
                  <c:v>0.72496336101612113</c:v>
                </c:pt>
                <c:pt idx="3">
                  <c:v>0.71665852467024915</c:v>
                </c:pt>
                <c:pt idx="4">
                  <c:v>0.7303370786516854</c:v>
                </c:pt>
                <c:pt idx="5">
                  <c:v>0.72936003908158276</c:v>
                </c:pt>
                <c:pt idx="6">
                  <c:v>0.71665852467024915</c:v>
                </c:pt>
                <c:pt idx="7">
                  <c:v>0.72496336101612113</c:v>
                </c:pt>
                <c:pt idx="8">
                  <c:v>0.75183194919394236</c:v>
                </c:pt>
              </c:numCache>
            </c:numRef>
          </c:val>
        </c:ser>
        <c:ser>
          <c:idx val="8"/>
          <c:order val="8"/>
          <c:tx>
            <c:strRef>
              <c:f>YMDB!$N$6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YMDB!$E$7:$E$17</c15:sqref>
                  </c15:fullRef>
                </c:ext>
              </c:extLst>
              <c:f>(YMDB!$E$7:$E$14,YMDB!$E$17)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YMDB!$N$7:$N$17</c15:sqref>
                  </c15:fullRef>
                </c:ext>
              </c:extLst>
              <c:f>(YMDB!$N$7:$N$14,YMDB!$N$17)</c:f>
              <c:numCache>
                <c:formatCode>General</c:formatCode>
                <c:ptCount val="9"/>
                <c:pt idx="0">
                  <c:v>0.33882352941176469</c:v>
                </c:pt>
                <c:pt idx="1">
                  <c:v>0.32313725490196077</c:v>
                </c:pt>
                <c:pt idx="2">
                  <c:v>0.31372549019607843</c:v>
                </c:pt>
                <c:pt idx="3">
                  <c:v>0.28705882352941176</c:v>
                </c:pt>
                <c:pt idx="4">
                  <c:v>0.33098039215686276</c:v>
                </c:pt>
                <c:pt idx="5">
                  <c:v>0.32784313725490194</c:v>
                </c:pt>
                <c:pt idx="6">
                  <c:v>0.28705882352941176</c:v>
                </c:pt>
                <c:pt idx="7">
                  <c:v>0.31372549019607843</c:v>
                </c:pt>
                <c:pt idx="8">
                  <c:v>0.4</c:v>
                </c:pt>
              </c:numCache>
            </c:numRef>
          </c:val>
        </c:ser>
        <c:ser>
          <c:idx val="9"/>
          <c:order val="9"/>
          <c:tx>
            <c:strRef>
              <c:f>YMDB!$O$6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YMDB!$E$7:$E$17</c15:sqref>
                  </c15:fullRef>
                </c:ext>
              </c:extLst>
              <c:f>(YMDB!$E$7:$E$14,YMDB!$E$17)</c:f>
              <c:strCache>
                <c:ptCount val="9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Ortho_Sim_Loc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YMDB!$O$7:$O$17</c15:sqref>
                  </c15:fullRef>
                </c:ext>
              </c:extLst>
              <c:f>(YMDB!$O$7:$O$14,YMDB!$O$17)</c:f>
              <c:numCache>
                <c:formatCode>General</c:formatCode>
                <c:ptCount val="9"/>
                <c:pt idx="0">
                  <c:v>0.67057444314185233</c:v>
                </c:pt>
                <c:pt idx="1">
                  <c:v>0.66275889019148104</c:v>
                </c:pt>
                <c:pt idx="2">
                  <c:v>0.65806955842125825</c:v>
                </c:pt>
                <c:pt idx="3">
                  <c:v>0.64478311840562719</c:v>
                </c:pt>
                <c:pt idx="4">
                  <c:v>0.66666666666666663</c:v>
                </c:pt>
                <c:pt idx="5">
                  <c:v>0.66510355607659244</c:v>
                </c:pt>
                <c:pt idx="6">
                  <c:v>0.64478311840562719</c:v>
                </c:pt>
                <c:pt idx="7">
                  <c:v>0.65806955842125825</c:v>
                </c:pt>
                <c:pt idx="8">
                  <c:v>0.70105509964830015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080600"/>
        <c:axId val="2210770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YMDB!$F$6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YMDB!$E$7:$E$17</c15:sqref>
                        </c15:fullRef>
                        <c15:formulaRef>
                          <c15:sqref>(YMDB!$E$7:$E$14,YMDB!$E$17)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Ortho_Sim_Loc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YMDB!$F$7:$F$17</c15:sqref>
                        </c15:fullRef>
                        <c15:formulaRef>
                          <c15:sqref>(YMDB!$F$7:$F$14,YMDB!$F$17)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216</c:v>
                      </c:pt>
                      <c:pt idx="1">
                        <c:v>206</c:v>
                      </c:pt>
                      <c:pt idx="2">
                        <c:v>200</c:v>
                      </c:pt>
                      <c:pt idx="3">
                        <c:v>183</c:v>
                      </c:pt>
                      <c:pt idx="4">
                        <c:v>211</c:v>
                      </c:pt>
                      <c:pt idx="5">
                        <c:v>209</c:v>
                      </c:pt>
                      <c:pt idx="6">
                        <c:v>183</c:v>
                      </c:pt>
                      <c:pt idx="7">
                        <c:v>200</c:v>
                      </c:pt>
                      <c:pt idx="8">
                        <c:v>255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YMDB!$G$6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YMDB!$E$7:$E$17</c15:sqref>
                        </c15:fullRef>
                        <c15:formulaRef>
                          <c15:sqref>(YMDB!$E$7:$E$14,YMDB!$E$17)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Ortho_Sim_Loc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YMDB!$G$7:$G$17</c15:sqref>
                        </c15:fullRef>
                        <c15:formulaRef>
                          <c15:sqref>(YMDB!$G$7:$G$14,YMDB!$G$17)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296</c:v>
                      </c:pt>
                      <c:pt idx="1">
                        <c:v>306</c:v>
                      </c:pt>
                      <c:pt idx="2">
                        <c:v>312</c:v>
                      </c:pt>
                      <c:pt idx="3">
                        <c:v>329</c:v>
                      </c:pt>
                      <c:pt idx="4">
                        <c:v>301</c:v>
                      </c:pt>
                      <c:pt idx="5">
                        <c:v>303</c:v>
                      </c:pt>
                      <c:pt idx="6">
                        <c:v>329</c:v>
                      </c:pt>
                      <c:pt idx="7">
                        <c:v>312</c:v>
                      </c:pt>
                      <c:pt idx="8">
                        <c:v>257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YMDB!$H$6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YMDB!$E$7:$E$17</c15:sqref>
                        </c15:fullRef>
                        <c15:formulaRef>
                          <c15:sqref>(YMDB!$E$7:$E$14,YMDB!$E$17)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Ortho_Sim_Loc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YMDB!$H$7:$H$17</c15:sqref>
                        </c15:fullRef>
                        <c15:formulaRef>
                          <c15:sqref>(YMDB!$H$7:$H$14,YMDB!$H$17)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547</c:v>
                      </c:pt>
                      <c:pt idx="1">
                        <c:v>557</c:v>
                      </c:pt>
                      <c:pt idx="2">
                        <c:v>563</c:v>
                      </c:pt>
                      <c:pt idx="3">
                        <c:v>580</c:v>
                      </c:pt>
                      <c:pt idx="4">
                        <c:v>552</c:v>
                      </c:pt>
                      <c:pt idx="5">
                        <c:v>554</c:v>
                      </c:pt>
                      <c:pt idx="6">
                        <c:v>580</c:v>
                      </c:pt>
                      <c:pt idx="7">
                        <c:v>563</c:v>
                      </c:pt>
                      <c:pt idx="8">
                        <c:v>508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YMDB!$I$6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YMDB!$E$7:$E$17</c15:sqref>
                        </c15:fullRef>
                        <c15:formulaRef>
                          <c15:sqref>(YMDB!$E$7:$E$14,YMDB!$E$17)</c15:sqref>
                        </c15:formulaRef>
                      </c:ext>
                    </c:extLst>
                    <c:strCache>
                      <c:ptCount val="9"/>
                      <c:pt idx="0">
                        <c:v>BC</c:v>
                      </c:pt>
                      <c:pt idx="1">
                        <c:v>CC</c:v>
                      </c:pt>
                      <c:pt idx="2">
                        <c:v>DC</c:v>
                      </c:pt>
                      <c:pt idx="3">
                        <c:v>EC</c:v>
                      </c:pt>
                      <c:pt idx="4">
                        <c:v>LAC</c:v>
                      </c:pt>
                      <c:pt idx="5">
                        <c:v>NC</c:v>
                      </c:pt>
                      <c:pt idx="6">
                        <c:v>SC</c:v>
                      </c:pt>
                      <c:pt idx="7">
                        <c:v>IC</c:v>
                      </c:pt>
                      <c:pt idx="8">
                        <c:v>Ortho_Sim_Loc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YMDB!$I$7:$I$17</c15:sqref>
                        </c15:fullRef>
                        <c15:formulaRef>
                          <c15:sqref>(YMDB!$I$7:$I$14,YMDB!$I$17)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1500</c:v>
                      </c:pt>
                      <c:pt idx="1">
                        <c:v>1490</c:v>
                      </c:pt>
                      <c:pt idx="2">
                        <c:v>1484</c:v>
                      </c:pt>
                      <c:pt idx="3">
                        <c:v>1467</c:v>
                      </c:pt>
                      <c:pt idx="4">
                        <c:v>1495</c:v>
                      </c:pt>
                      <c:pt idx="5">
                        <c:v>1493</c:v>
                      </c:pt>
                      <c:pt idx="6">
                        <c:v>1467</c:v>
                      </c:pt>
                      <c:pt idx="7">
                        <c:v>1484</c:v>
                      </c:pt>
                      <c:pt idx="8">
                        <c:v>1539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221080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latin typeface="Arial" panose="020B0604020202020204" pitchFamily="34" charset="0"/>
                    <a:cs typeface="Arial" panose="020B0604020202020204" pitchFamily="34" charset="0"/>
                  </a:rPr>
                  <a:t>Methodologies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077072"/>
        <c:crosses val="autoZero"/>
        <c:auto val="1"/>
        <c:lblAlgn val="ctr"/>
        <c:lblOffset val="100"/>
        <c:noMultiLvlLbl val="0"/>
      </c:catAx>
      <c:valAx>
        <c:axId val="22107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Values of Statistical measures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08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900" b="1">
                <a:latin typeface="Arial" panose="020B0604020202020204" pitchFamily="34" charset="0"/>
                <a:cs typeface="Arial" panose="020B0604020202020204" pitchFamily="34" charset="0"/>
              </a:rPr>
              <a:t>YDIP Dataset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Comm_neigh!$D$4</c:f>
              <c:strCache>
                <c:ptCount val="1"/>
                <c:pt idx="0">
                  <c:v>SN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Comm_neigh!$C$5:$C$14</c:f>
              <c:strCache>
                <c:ptCount val="10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MMA</c:v>
                </c:pt>
                <c:pt idx="9">
                  <c:v>MM-CCNB</c:v>
                </c:pt>
              </c:strCache>
            </c:strRef>
          </c:cat>
          <c:val>
            <c:numRef>
              <c:f>Comm_neigh!$D$5:$D$14</c:f>
              <c:numCache>
                <c:formatCode>General</c:formatCode>
                <c:ptCount val="10"/>
                <c:pt idx="0">
                  <c:v>0.30934018851756639</c:v>
                </c:pt>
                <c:pt idx="1">
                  <c:v>0.31191088260497002</c:v>
                </c:pt>
                <c:pt idx="2">
                  <c:v>0.35218508997429304</c:v>
                </c:pt>
                <c:pt idx="3">
                  <c:v>0.32305055698371893</c:v>
                </c:pt>
                <c:pt idx="4">
                  <c:v>0.40359897172236503</c:v>
                </c:pt>
                <c:pt idx="5">
                  <c:v>0.39845758354755784</c:v>
                </c:pt>
                <c:pt idx="6">
                  <c:v>0.32305055698371893</c:v>
                </c:pt>
                <c:pt idx="7">
                  <c:v>0.35218508997429304</c:v>
                </c:pt>
                <c:pt idx="8">
                  <c:v>0.4490145672664953</c:v>
                </c:pt>
                <c:pt idx="9">
                  <c:v>0.45844044558697516</c:v>
                </c:pt>
              </c:numCache>
            </c:numRef>
          </c:val>
        </c:ser>
        <c:ser>
          <c:idx val="1"/>
          <c:order val="1"/>
          <c:tx>
            <c:strRef>
              <c:f>Comm_neigh!$E$4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Comm_neigh!$C$5:$C$14</c:f>
              <c:strCache>
                <c:ptCount val="10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MMA</c:v>
                </c:pt>
                <c:pt idx="9">
                  <c:v>MM-CCNB</c:v>
                </c:pt>
              </c:strCache>
            </c:strRef>
          </c:cat>
          <c:val>
            <c:numRef>
              <c:f>Comm_neigh!$E$5:$E$14</c:f>
              <c:numCache>
                <c:formatCode>General</c:formatCode>
                <c:ptCount val="10"/>
                <c:pt idx="0">
                  <c:v>0.69065981148243361</c:v>
                </c:pt>
                <c:pt idx="1">
                  <c:v>0.68808911739502998</c:v>
                </c:pt>
                <c:pt idx="2">
                  <c:v>0.6478149100257069</c:v>
                </c:pt>
                <c:pt idx="3">
                  <c:v>0.67694944301628102</c:v>
                </c:pt>
                <c:pt idx="4">
                  <c:v>0.59640102827763497</c:v>
                </c:pt>
                <c:pt idx="5">
                  <c:v>0.60154241645244211</c:v>
                </c:pt>
                <c:pt idx="6">
                  <c:v>0.67694944301628102</c:v>
                </c:pt>
                <c:pt idx="7">
                  <c:v>0.6478149100257069</c:v>
                </c:pt>
                <c:pt idx="8">
                  <c:v>0.55098543273350475</c:v>
                </c:pt>
                <c:pt idx="9">
                  <c:v>0.54155955441302484</c:v>
                </c:pt>
              </c:numCache>
            </c:numRef>
          </c:val>
        </c:ser>
        <c:ser>
          <c:idx val="2"/>
          <c:order val="2"/>
          <c:tx>
            <c:strRef>
              <c:f>Comm_neigh!$F$4</c:f>
              <c:strCache>
                <c:ptCount val="1"/>
                <c:pt idx="0">
                  <c:v>PPV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Comm_neigh!$C$5:$C$14</c:f>
              <c:strCache>
                <c:ptCount val="10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MMA</c:v>
                </c:pt>
                <c:pt idx="9">
                  <c:v>MM-CCNB</c:v>
                </c:pt>
              </c:strCache>
            </c:strRef>
          </c:cat>
          <c:val>
            <c:numRef>
              <c:f>Comm_neigh!$F$5:$F$14</c:f>
              <c:numCache>
                <c:formatCode>General</c:formatCode>
                <c:ptCount val="10"/>
                <c:pt idx="0">
                  <c:v>0.35426889106967613</c:v>
                </c:pt>
                <c:pt idx="1">
                  <c:v>0.35721295387634938</c:v>
                </c:pt>
                <c:pt idx="2">
                  <c:v>0.40333660451422965</c:v>
                </c:pt>
                <c:pt idx="3">
                  <c:v>0.36997055937193329</c:v>
                </c:pt>
                <c:pt idx="4">
                  <c:v>0.46221786064769382</c:v>
                </c:pt>
                <c:pt idx="5">
                  <c:v>0.45632973503434737</c:v>
                </c:pt>
                <c:pt idx="6">
                  <c:v>0.36997055937193329</c:v>
                </c:pt>
                <c:pt idx="7">
                  <c:v>0.40333660451422965</c:v>
                </c:pt>
                <c:pt idx="8">
                  <c:v>0.51422963689892054</c:v>
                </c:pt>
                <c:pt idx="9">
                  <c:v>0.52502453385672232</c:v>
                </c:pt>
              </c:numCache>
            </c:numRef>
          </c:val>
        </c:ser>
        <c:ser>
          <c:idx val="3"/>
          <c:order val="3"/>
          <c:tx>
            <c:strRef>
              <c:f>Comm_neigh!$G$4</c:f>
              <c:strCache>
                <c:ptCount val="1"/>
                <c:pt idx="0">
                  <c:v>NPV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Comm_neigh!$C$5:$C$14</c:f>
              <c:strCache>
                <c:ptCount val="10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MMA</c:v>
                </c:pt>
                <c:pt idx="9">
                  <c:v>MM-CCNB</c:v>
                </c:pt>
              </c:strCache>
            </c:strRef>
          </c:cat>
          <c:val>
            <c:numRef>
              <c:f>Comm_neigh!$G$5:$G$14</c:f>
              <c:numCache>
                <c:formatCode>General</c:formatCode>
                <c:ptCount val="10"/>
                <c:pt idx="0">
                  <c:v>0.80216003927344137</c:v>
                </c:pt>
                <c:pt idx="1">
                  <c:v>0.80289641629847819</c:v>
                </c:pt>
                <c:pt idx="2">
                  <c:v>0.81443298969072164</c:v>
                </c:pt>
                <c:pt idx="3">
                  <c:v>0.80608738340697106</c:v>
                </c:pt>
                <c:pt idx="4">
                  <c:v>0.82916053019145808</c:v>
                </c:pt>
                <c:pt idx="5">
                  <c:v>0.82768777614138433</c:v>
                </c:pt>
                <c:pt idx="6">
                  <c:v>0.80608738340697106</c:v>
                </c:pt>
                <c:pt idx="7">
                  <c:v>0.81443298969072164</c:v>
                </c:pt>
                <c:pt idx="8">
                  <c:v>0.84216985763377517</c:v>
                </c:pt>
                <c:pt idx="9">
                  <c:v>0.84486990672557682</c:v>
                </c:pt>
              </c:numCache>
            </c:numRef>
          </c:val>
        </c:ser>
        <c:ser>
          <c:idx val="4"/>
          <c:order val="4"/>
          <c:tx>
            <c:strRef>
              <c:f>Comm_neigh!$H$4</c:f>
              <c:strCache>
                <c:ptCount val="1"/>
                <c:pt idx="0">
                  <c:v>F Score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Comm_neigh!$C$5:$C$14</c:f>
              <c:strCache>
                <c:ptCount val="10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MMA</c:v>
                </c:pt>
                <c:pt idx="9">
                  <c:v>MM-CCNB</c:v>
                </c:pt>
              </c:strCache>
            </c:strRef>
          </c:cat>
          <c:val>
            <c:numRef>
              <c:f>Comm_neigh!$H$5:$H$14</c:f>
              <c:numCache>
                <c:formatCode>General</c:formatCode>
                <c:ptCount val="10"/>
                <c:pt idx="0">
                  <c:v>0.33028362305580972</c:v>
                </c:pt>
                <c:pt idx="1">
                  <c:v>0.33302836230558097</c:v>
                </c:pt>
                <c:pt idx="2">
                  <c:v>0.37602927721866425</c:v>
                </c:pt>
                <c:pt idx="3">
                  <c:v>0.34492223238792319</c:v>
                </c:pt>
                <c:pt idx="4">
                  <c:v>0.43092406221408974</c:v>
                </c:pt>
                <c:pt idx="5">
                  <c:v>0.42543458371454707</c:v>
                </c:pt>
                <c:pt idx="6">
                  <c:v>0.34492223238792319</c:v>
                </c:pt>
                <c:pt idx="7">
                  <c:v>0.37602927721866425</c:v>
                </c:pt>
                <c:pt idx="8">
                  <c:v>0.47941445562671542</c:v>
                </c:pt>
                <c:pt idx="9">
                  <c:v>0.48947849954254347</c:v>
                </c:pt>
              </c:numCache>
            </c:numRef>
          </c:val>
        </c:ser>
        <c:ser>
          <c:idx val="5"/>
          <c:order val="5"/>
          <c:tx>
            <c:strRef>
              <c:f>Comm_neigh!$I$4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Comm_neigh!$C$5:$C$14</c:f>
              <c:strCache>
                <c:ptCount val="10"/>
                <c:pt idx="0">
                  <c:v>BC</c:v>
                </c:pt>
                <c:pt idx="1">
                  <c:v>CC</c:v>
                </c:pt>
                <c:pt idx="2">
                  <c:v>DC</c:v>
                </c:pt>
                <c:pt idx="3">
                  <c:v>EC</c:v>
                </c:pt>
                <c:pt idx="4">
                  <c:v>LAC</c:v>
                </c:pt>
                <c:pt idx="5">
                  <c:v>NC</c:v>
                </c:pt>
                <c:pt idx="6">
                  <c:v>SC</c:v>
                </c:pt>
                <c:pt idx="7">
                  <c:v>IC</c:v>
                </c:pt>
                <c:pt idx="8">
                  <c:v>MMA</c:v>
                </c:pt>
                <c:pt idx="9">
                  <c:v>MM-CCNB</c:v>
                </c:pt>
              </c:strCache>
            </c:strRef>
          </c:cat>
          <c:val>
            <c:numRef>
              <c:f>Comm_neigh!$I$5:$I$14</c:f>
              <c:numCache>
                <c:formatCode>General</c:formatCode>
                <c:ptCount val="10"/>
                <c:pt idx="0">
                  <c:v>0.71254663263302576</c:v>
                </c:pt>
                <c:pt idx="1">
                  <c:v>0.71372472020420186</c:v>
                </c:pt>
                <c:pt idx="2">
                  <c:v>0.7321814254859611</c:v>
                </c:pt>
                <c:pt idx="3">
                  <c:v>0.71882976634596507</c:v>
                </c:pt>
                <c:pt idx="4">
                  <c:v>0.75574317690948356</c:v>
                </c:pt>
                <c:pt idx="5">
                  <c:v>0.75338700176713136</c:v>
                </c:pt>
                <c:pt idx="6">
                  <c:v>0.71882976634596507</c:v>
                </c:pt>
                <c:pt idx="7">
                  <c:v>0.7321814254859611</c:v>
                </c:pt>
                <c:pt idx="8">
                  <c:v>0.77655605733359512</c:v>
                </c:pt>
                <c:pt idx="9">
                  <c:v>0.78087571176124093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953088"/>
        <c:axId val="221955048"/>
      </c:barChart>
      <c:catAx>
        <c:axId val="22195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 b="1">
                    <a:latin typeface="Arial" panose="020B0604020202020204" pitchFamily="34" charset="0"/>
                    <a:cs typeface="Arial" panose="020B0604020202020204" pitchFamily="34" charset="0"/>
                  </a:rPr>
                  <a:t>Different methodology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955048"/>
        <c:crosses val="autoZero"/>
        <c:auto val="1"/>
        <c:lblAlgn val="ctr"/>
        <c:lblOffset val="100"/>
        <c:noMultiLvlLbl val="0"/>
      </c:catAx>
      <c:valAx>
        <c:axId val="22195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 b="1">
                    <a:latin typeface="Arial" panose="020B0604020202020204" pitchFamily="34" charset="0"/>
                    <a:cs typeface="Arial" panose="020B0604020202020204" pitchFamily="34" charset="0"/>
                  </a:rPr>
                  <a:t>Values of different statistical measures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95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17</xdr:row>
      <xdr:rowOff>161925</xdr:rowOff>
    </xdr:from>
    <xdr:to>
      <xdr:col>23</xdr:col>
      <xdr:colOff>304800</xdr:colOff>
      <xdr:row>36</xdr:row>
      <xdr:rowOff>71437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19</xdr:row>
      <xdr:rowOff>185737</xdr:rowOff>
    </xdr:from>
    <xdr:to>
      <xdr:col>18</xdr:col>
      <xdr:colOff>314325</xdr:colOff>
      <xdr:row>34</xdr:row>
      <xdr:rowOff>71437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190500</xdr:colOff>
      <xdr:row>21</xdr:row>
      <xdr:rowOff>28575</xdr:rowOff>
    </xdr:from>
    <xdr:to>
      <xdr:col>19</xdr:col>
      <xdr:colOff>495300</xdr:colOff>
      <xdr:row>35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20</xdr:row>
      <xdr:rowOff>33337</xdr:rowOff>
    </xdr:from>
    <xdr:to>
      <xdr:col>18</xdr:col>
      <xdr:colOff>100012</xdr:colOff>
      <xdr:row>34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219074</xdr:colOff>
      <xdr:row>20</xdr:row>
      <xdr:rowOff>47625</xdr:rowOff>
    </xdr:from>
    <xdr:to>
      <xdr:col>18</xdr:col>
      <xdr:colOff>571499</xdr:colOff>
      <xdr:row>29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11</xdr:row>
      <xdr:rowOff>52387</xdr:rowOff>
    </xdr:from>
    <xdr:to>
      <xdr:col>17</xdr:col>
      <xdr:colOff>314325</xdr:colOff>
      <xdr:row>25</xdr:row>
      <xdr:rowOff>128587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Q20"/>
  <sheetViews>
    <sheetView workbookViewId="0">
      <selection activeCell="H16" sqref="H16:M16"/>
    </sheetView>
  </sheetViews>
  <sheetFormatPr defaultRowHeight="15" x14ac:dyDescent="0.25"/>
  <sheetData>
    <row r="3" spans="3:17" x14ac:dyDescent="0.25">
      <c r="C3" s="1" t="s">
        <v>22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/>
      <c r="O3" s="1" t="s">
        <v>11</v>
      </c>
      <c r="P3" s="2">
        <v>0.2</v>
      </c>
      <c r="Q3" s="1" t="s">
        <v>10</v>
      </c>
    </row>
    <row r="4" spans="3:17" x14ac:dyDescent="0.25">
      <c r="C4" s="1" t="s">
        <v>12</v>
      </c>
      <c r="D4" s="1">
        <v>253</v>
      </c>
      <c r="E4" s="1">
        <f>P4-D4</f>
        <v>657</v>
      </c>
      <c r="F4" s="1">
        <f>O4-D4</f>
        <v>763</v>
      </c>
      <c r="G4" s="1">
        <f>Q4-D4-E4-F4</f>
        <v>2873</v>
      </c>
      <c r="H4" s="1">
        <f>D4/(D4+F4)</f>
        <v>0.24901574803149606</v>
      </c>
      <c r="I4" s="1">
        <f>F4/(F4+D4)</f>
        <v>0.75098425196850394</v>
      </c>
      <c r="J4" s="1">
        <f>D4/(D4+E4)</f>
        <v>0.27802197802197803</v>
      </c>
      <c r="K4" s="1">
        <f>G4/(G4+F4)</f>
        <v>0.79015401540154018</v>
      </c>
      <c r="L4" s="1">
        <f>(2*H4*J4)/(H4+J4)</f>
        <v>0.26272066458982352</v>
      </c>
      <c r="M4" s="1">
        <f>(D4+G4)/(D4+E4+G4+F4)</f>
        <v>0.68763748350197973</v>
      </c>
      <c r="N4" s="1"/>
      <c r="O4" s="1">
        <v>1016</v>
      </c>
      <c r="P4" s="1">
        <v>910</v>
      </c>
      <c r="Q4" s="1">
        <v>4546</v>
      </c>
    </row>
    <row r="5" spans="3:17" x14ac:dyDescent="0.25">
      <c r="C5" s="1" t="s">
        <v>13</v>
      </c>
      <c r="D5" s="1">
        <v>173</v>
      </c>
      <c r="E5" s="1">
        <f t="shared" ref="E5:E16" si="0">P5-D5</f>
        <v>737</v>
      </c>
      <c r="F5" s="1">
        <f t="shared" ref="F5:F16" si="1">O5-D5</f>
        <v>843</v>
      </c>
      <c r="G5" s="1">
        <f t="shared" ref="G5:G16" si="2">Q5-D5-E5-F5</f>
        <v>2793</v>
      </c>
      <c r="H5" s="1">
        <f t="shared" ref="H5:H16" si="3">D5/(D5+F5)</f>
        <v>0.17027559055118111</v>
      </c>
      <c r="I5" s="1">
        <f t="shared" ref="I5:I16" si="4">F5/(F5+D5)</f>
        <v>0.82972440944881887</v>
      </c>
      <c r="J5" s="1">
        <f t="shared" ref="J5:J16" si="5">D5/(D5+E5)</f>
        <v>0.1901098901098901</v>
      </c>
      <c r="K5" s="1">
        <f t="shared" ref="K5:K16" si="6">G5/(G5+F5)</f>
        <v>0.7681518151815182</v>
      </c>
      <c r="L5" s="1">
        <f t="shared" ref="L5:L16" si="7">(2*H5*J5)/(H5+J5)</f>
        <v>0.17964693665628242</v>
      </c>
      <c r="M5" s="1">
        <f t="shared" ref="M5:M16" si="8">(D5+G5)/(D5+E5+G5+F5)</f>
        <v>0.65244170699516058</v>
      </c>
      <c r="N5" s="1"/>
      <c r="O5" s="1">
        <v>1016</v>
      </c>
      <c r="P5" s="1">
        <v>910</v>
      </c>
      <c r="Q5" s="1">
        <v>4546</v>
      </c>
    </row>
    <row r="6" spans="3:17" x14ac:dyDescent="0.25">
      <c r="C6" s="1" t="s">
        <v>14</v>
      </c>
      <c r="D6" s="1">
        <v>255</v>
      </c>
      <c r="E6" s="1">
        <f t="shared" si="0"/>
        <v>655</v>
      </c>
      <c r="F6" s="1">
        <f t="shared" si="1"/>
        <v>761</v>
      </c>
      <c r="G6" s="1">
        <f t="shared" si="2"/>
        <v>2875</v>
      </c>
      <c r="H6" s="1">
        <f t="shared" si="3"/>
        <v>0.25098425196850394</v>
      </c>
      <c r="I6" s="1">
        <f t="shared" si="4"/>
        <v>0.74901574803149606</v>
      </c>
      <c r="J6" s="1">
        <f t="shared" si="5"/>
        <v>0.28021978021978022</v>
      </c>
      <c r="K6" s="1">
        <f t="shared" si="6"/>
        <v>0.79070407040704072</v>
      </c>
      <c r="L6" s="1">
        <f t="shared" si="7"/>
        <v>0.26479750778816202</v>
      </c>
      <c r="M6" s="1">
        <f t="shared" si="8"/>
        <v>0.68851737791465029</v>
      </c>
      <c r="N6" s="1"/>
      <c r="O6" s="1">
        <v>1016</v>
      </c>
      <c r="P6" s="1">
        <v>910</v>
      </c>
      <c r="Q6" s="1">
        <v>4546</v>
      </c>
    </row>
    <row r="7" spans="3:17" x14ac:dyDescent="0.25">
      <c r="C7" s="1" t="s">
        <v>15</v>
      </c>
      <c r="D7" s="1">
        <v>141</v>
      </c>
      <c r="E7" s="1">
        <f t="shared" si="0"/>
        <v>769</v>
      </c>
      <c r="F7" s="1">
        <f t="shared" si="1"/>
        <v>875</v>
      </c>
      <c r="G7" s="1">
        <f t="shared" si="2"/>
        <v>2761</v>
      </c>
      <c r="H7" s="1">
        <f t="shared" si="3"/>
        <v>0.13877952755905512</v>
      </c>
      <c r="I7" s="1">
        <f t="shared" si="4"/>
        <v>0.86122047244094491</v>
      </c>
      <c r="J7" s="1">
        <f t="shared" si="5"/>
        <v>0.15494505494505495</v>
      </c>
      <c r="K7" s="1">
        <f t="shared" si="6"/>
        <v>0.75935093509350937</v>
      </c>
      <c r="L7" s="1">
        <f t="shared" si="7"/>
        <v>0.14641744548286606</v>
      </c>
      <c r="M7" s="1">
        <f t="shared" si="8"/>
        <v>0.63836339639243289</v>
      </c>
      <c r="N7" s="1"/>
      <c r="O7" s="1">
        <v>1016</v>
      </c>
      <c r="P7" s="1">
        <v>910</v>
      </c>
      <c r="Q7" s="1">
        <v>4546</v>
      </c>
    </row>
    <row r="8" spans="3:17" x14ac:dyDescent="0.25">
      <c r="C8" s="1" t="s">
        <v>16</v>
      </c>
      <c r="D8" s="1">
        <v>271</v>
      </c>
      <c r="E8" s="1">
        <f t="shared" si="0"/>
        <v>639</v>
      </c>
      <c r="F8" s="1">
        <f t="shared" si="1"/>
        <v>745</v>
      </c>
      <c r="G8" s="1">
        <f t="shared" si="2"/>
        <v>2891</v>
      </c>
      <c r="H8" s="1">
        <f t="shared" si="3"/>
        <v>0.26673228346456695</v>
      </c>
      <c r="I8" s="1">
        <f t="shared" si="4"/>
        <v>0.7332677165354331</v>
      </c>
      <c r="J8" s="1">
        <f t="shared" si="5"/>
        <v>0.2978021978021978</v>
      </c>
      <c r="K8" s="1">
        <f t="shared" si="6"/>
        <v>0.79510451045104513</v>
      </c>
      <c r="L8" s="1">
        <f t="shared" si="7"/>
        <v>0.28141225337487019</v>
      </c>
      <c r="M8" s="1">
        <f t="shared" si="8"/>
        <v>0.69555653321601407</v>
      </c>
      <c r="N8" s="1"/>
      <c r="O8" s="1">
        <v>1016</v>
      </c>
      <c r="P8" s="1">
        <v>910</v>
      </c>
      <c r="Q8" s="1">
        <v>4546</v>
      </c>
    </row>
    <row r="9" spans="3:17" x14ac:dyDescent="0.25">
      <c r="C9" s="1" t="s">
        <v>17</v>
      </c>
      <c r="D9" s="1">
        <v>286</v>
      </c>
      <c r="E9" s="1">
        <f t="shared" si="0"/>
        <v>624</v>
      </c>
      <c r="F9" s="1">
        <f t="shared" si="1"/>
        <v>730</v>
      </c>
      <c r="G9" s="1">
        <f t="shared" si="2"/>
        <v>2906</v>
      </c>
      <c r="H9" s="1">
        <f t="shared" si="3"/>
        <v>0.28149606299212598</v>
      </c>
      <c r="I9" s="1">
        <f t="shared" si="4"/>
        <v>0.71850393700787396</v>
      </c>
      <c r="J9" s="1">
        <f t="shared" si="5"/>
        <v>0.31428571428571428</v>
      </c>
      <c r="K9" s="1">
        <f t="shared" si="6"/>
        <v>0.79922992299229922</v>
      </c>
      <c r="L9" s="1">
        <f t="shared" si="7"/>
        <v>0.29698857736240919</v>
      </c>
      <c r="M9" s="1">
        <f t="shared" si="8"/>
        <v>0.70215574131104264</v>
      </c>
      <c r="N9" s="1"/>
      <c r="O9" s="1">
        <v>1016</v>
      </c>
      <c r="P9" s="1">
        <v>910</v>
      </c>
      <c r="Q9" s="1">
        <v>4546</v>
      </c>
    </row>
    <row r="10" spans="3:17" x14ac:dyDescent="0.25">
      <c r="C10" s="1" t="s">
        <v>18</v>
      </c>
      <c r="D10" s="1">
        <v>141</v>
      </c>
      <c r="E10" s="1">
        <f t="shared" si="0"/>
        <v>769</v>
      </c>
      <c r="F10" s="1">
        <f t="shared" si="1"/>
        <v>875</v>
      </c>
      <c r="G10" s="1">
        <f t="shared" si="2"/>
        <v>2761</v>
      </c>
      <c r="H10" s="1">
        <f t="shared" si="3"/>
        <v>0.13877952755905512</v>
      </c>
      <c r="I10" s="1">
        <f t="shared" si="4"/>
        <v>0.86122047244094491</v>
      </c>
      <c r="J10" s="1">
        <f t="shared" si="5"/>
        <v>0.15494505494505495</v>
      </c>
      <c r="K10" s="1">
        <f t="shared" si="6"/>
        <v>0.75935093509350937</v>
      </c>
      <c r="L10" s="1">
        <f t="shared" si="7"/>
        <v>0.14641744548286606</v>
      </c>
      <c r="M10" s="1">
        <f t="shared" si="8"/>
        <v>0.63836339639243289</v>
      </c>
      <c r="N10" s="1"/>
      <c r="O10" s="1">
        <v>1016</v>
      </c>
      <c r="P10" s="1">
        <v>910</v>
      </c>
      <c r="Q10" s="1">
        <v>4546</v>
      </c>
    </row>
    <row r="11" spans="3:17" x14ac:dyDescent="0.25">
      <c r="C11" s="1" t="s">
        <v>19</v>
      </c>
      <c r="D11" s="1">
        <v>254</v>
      </c>
      <c r="E11" s="1">
        <f t="shared" si="0"/>
        <v>656</v>
      </c>
      <c r="F11" s="1">
        <f t="shared" si="1"/>
        <v>762</v>
      </c>
      <c r="G11" s="1">
        <f t="shared" si="2"/>
        <v>2874</v>
      </c>
      <c r="H11" s="1">
        <f t="shared" si="3"/>
        <v>0.25</v>
      </c>
      <c r="I11" s="1">
        <f t="shared" si="4"/>
        <v>0.75</v>
      </c>
      <c r="J11" s="1">
        <f t="shared" si="5"/>
        <v>0.27912087912087913</v>
      </c>
      <c r="K11" s="1">
        <f t="shared" si="6"/>
        <v>0.79042904290429039</v>
      </c>
      <c r="L11" s="1">
        <f t="shared" si="7"/>
        <v>0.26375908618899274</v>
      </c>
      <c r="M11" s="1">
        <f t="shared" si="8"/>
        <v>0.68807743070831495</v>
      </c>
      <c r="N11" s="1"/>
      <c r="O11" s="1">
        <v>1016</v>
      </c>
      <c r="P11" s="1">
        <v>910</v>
      </c>
      <c r="Q11" s="1">
        <v>4546</v>
      </c>
    </row>
    <row r="12" spans="3:17" x14ac:dyDescent="0.25">
      <c r="C12" s="1" t="s">
        <v>20</v>
      </c>
      <c r="D12" s="1">
        <v>430</v>
      </c>
      <c r="E12" s="1">
        <f t="shared" si="0"/>
        <v>480</v>
      </c>
      <c r="F12" s="1">
        <f t="shared" si="1"/>
        <v>586</v>
      </c>
      <c r="G12" s="1">
        <f t="shared" si="2"/>
        <v>3050</v>
      </c>
      <c r="H12" s="1">
        <f t="shared" si="3"/>
        <v>0.42322834645669294</v>
      </c>
      <c r="I12" s="1">
        <f t="shared" si="4"/>
        <v>0.57677165354330706</v>
      </c>
      <c r="J12" s="1">
        <f t="shared" si="5"/>
        <v>0.47252747252747251</v>
      </c>
      <c r="K12" s="1">
        <f t="shared" si="6"/>
        <v>0.83883388338833886</v>
      </c>
      <c r="L12" s="1">
        <f t="shared" si="7"/>
        <v>0.44652128764278298</v>
      </c>
      <c r="M12" s="1">
        <f t="shared" si="8"/>
        <v>0.76550813902331716</v>
      </c>
      <c r="N12" s="1"/>
      <c r="O12" s="1">
        <v>1016</v>
      </c>
      <c r="P12" s="1">
        <v>910</v>
      </c>
      <c r="Q12" s="1">
        <v>4546</v>
      </c>
    </row>
    <row r="13" spans="3:17" x14ac:dyDescent="0.25">
      <c r="C13" s="1" t="s">
        <v>21</v>
      </c>
      <c r="D13" s="1">
        <v>437</v>
      </c>
      <c r="E13" s="1">
        <f t="shared" si="0"/>
        <v>473</v>
      </c>
      <c r="F13" s="1">
        <f t="shared" si="1"/>
        <v>579</v>
      </c>
      <c r="G13" s="1">
        <f t="shared" si="2"/>
        <v>3057</v>
      </c>
      <c r="H13" s="1">
        <f t="shared" si="3"/>
        <v>0.43011811023622049</v>
      </c>
      <c r="I13" s="1">
        <f t="shared" si="4"/>
        <v>0.56988188976377951</v>
      </c>
      <c r="J13" s="1">
        <f t="shared" si="5"/>
        <v>0.48021978021978023</v>
      </c>
      <c r="K13" s="1">
        <f t="shared" si="6"/>
        <v>0.8407590759075908</v>
      </c>
      <c r="L13" s="1">
        <f t="shared" si="7"/>
        <v>0.45379023883696784</v>
      </c>
      <c r="M13" s="1">
        <f t="shared" si="8"/>
        <v>0.76858776946766383</v>
      </c>
      <c r="N13" s="1"/>
      <c r="O13" s="1">
        <v>1016</v>
      </c>
      <c r="P13" s="1">
        <v>910</v>
      </c>
      <c r="Q13" s="1">
        <v>4546</v>
      </c>
    </row>
    <row r="14" spans="3:17" x14ac:dyDescent="0.25">
      <c r="C14" s="1" t="s">
        <v>24</v>
      </c>
      <c r="D14" s="1">
        <v>330</v>
      </c>
      <c r="E14" s="1">
        <f t="shared" si="0"/>
        <v>580</v>
      </c>
      <c r="F14" s="1">
        <f t="shared" si="1"/>
        <v>686</v>
      </c>
      <c r="G14" s="1">
        <f t="shared" si="2"/>
        <v>2950</v>
      </c>
      <c r="H14" s="1">
        <f t="shared" si="3"/>
        <v>0.32480314960629919</v>
      </c>
      <c r="I14" s="1">
        <f t="shared" si="4"/>
        <v>0.67519685039370081</v>
      </c>
      <c r="J14" s="1">
        <f t="shared" si="5"/>
        <v>0.36263736263736263</v>
      </c>
      <c r="K14" s="1">
        <f t="shared" si="6"/>
        <v>0.81133113311331129</v>
      </c>
      <c r="L14" s="1">
        <f t="shared" si="7"/>
        <v>0.34267912772585668</v>
      </c>
      <c r="M14" s="1">
        <f t="shared" si="8"/>
        <v>0.72151341838979322</v>
      </c>
      <c r="N14" s="1"/>
      <c r="O14" s="1">
        <v>1016</v>
      </c>
      <c r="P14" s="1">
        <v>910</v>
      </c>
      <c r="Q14" s="1">
        <v>4546</v>
      </c>
    </row>
    <row r="15" spans="3:17" x14ac:dyDescent="0.25">
      <c r="C15" s="1" t="s">
        <v>25</v>
      </c>
      <c r="D15" s="1">
        <v>356</v>
      </c>
      <c r="E15" s="1">
        <f t="shared" si="0"/>
        <v>554</v>
      </c>
      <c r="F15" s="1">
        <f t="shared" si="1"/>
        <v>660</v>
      </c>
      <c r="G15" s="1">
        <f t="shared" si="2"/>
        <v>2976</v>
      </c>
      <c r="H15" s="1">
        <f t="shared" si="3"/>
        <v>0.35039370078740156</v>
      </c>
      <c r="I15" s="1">
        <f t="shared" si="4"/>
        <v>0.64960629921259838</v>
      </c>
      <c r="J15" s="1">
        <f t="shared" si="5"/>
        <v>0.39120879120879121</v>
      </c>
      <c r="K15" s="1">
        <f t="shared" si="6"/>
        <v>0.81848184818481851</v>
      </c>
      <c r="L15" s="1">
        <f t="shared" si="7"/>
        <v>0.36967808930425755</v>
      </c>
      <c r="M15" s="1">
        <f t="shared" si="8"/>
        <v>0.73295204575450945</v>
      </c>
      <c r="N15" s="1"/>
      <c r="O15" s="1">
        <v>1016</v>
      </c>
      <c r="P15" s="1">
        <v>910</v>
      </c>
      <c r="Q15" s="1">
        <v>4546</v>
      </c>
    </row>
    <row r="16" spans="3:17" x14ac:dyDescent="0.25">
      <c r="C16" s="1" t="s">
        <v>32</v>
      </c>
      <c r="D16" s="1">
        <v>386</v>
      </c>
      <c r="E16" s="1">
        <f t="shared" si="0"/>
        <v>524</v>
      </c>
      <c r="F16" s="1">
        <f t="shared" si="1"/>
        <v>630</v>
      </c>
      <c r="G16" s="1">
        <f t="shared" si="2"/>
        <v>3006</v>
      </c>
      <c r="H16" s="1">
        <f t="shared" si="3"/>
        <v>0.37992125984251968</v>
      </c>
      <c r="I16" s="1">
        <f t="shared" si="4"/>
        <v>0.62007874015748032</v>
      </c>
      <c r="J16" s="1">
        <f t="shared" si="5"/>
        <v>0.42417582417582417</v>
      </c>
      <c r="K16" s="1">
        <f t="shared" si="6"/>
        <v>0.82673267326732669</v>
      </c>
      <c r="L16" s="1">
        <f t="shared" si="7"/>
        <v>0.40083073727933538</v>
      </c>
      <c r="M16" s="1">
        <f t="shared" si="8"/>
        <v>0.74615046194456669</v>
      </c>
      <c r="O16" s="1">
        <v>1016</v>
      </c>
      <c r="P16" s="1">
        <v>910</v>
      </c>
      <c r="Q16" s="1">
        <v>4546</v>
      </c>
    </row>
    <row r="20" spans="9:9" x14ac:dyDescent="0.25">
      <c r="I20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R18"/>
  <sheetViews>
    <sheetView topLeftCell="A4" workbookViewId="0">
      <selection activeCell="I18" sqref="I18:N18"/>
    </sheetView>
  </sheetViews>
  <sheetFormatPr defaultRowHeight="15" x14ac:dyDescent="0.25"/>
  <sheetData>
    <row r="6" spans="4:18" x14ac:dyDescent="0.25">
      <c r="D6" s="1" t="s">
        <v>23</v>
      </c>
      <c r="E6" s="1" t="s">
        <v>0</v>
      </c>
      <c r="F6" s="1" t="s">
        <v>1</v>
      </c>
      <c r="G6" s="1" t="s">
        <v>2</v>
      </c>
      <c r="H6" s="1" t="s">
        <v>3</v>
      </c>
      <c r="I6" s="1" t="s">
        <v>4</v>
      </c>
      <c r="J6" s="1" t="s">
        <v>5</v>
      </c>
      <c r="K6" s="1" t="s">
        <v>6</v>
      </c>
      <c r="L6" s="1" t="s">
        <v>7</v>
      </c>
      <c r="M6" s="1" t="s">
        <v>8</v>
      </c>
      <c r="N6" s="1" t="s">
        <v>9</v>
      </c>
      <c r="O6" s="1"/>
      <c r="P6" s="1" t="s">
        <v>11</v>
      </c>
      <c r="Q6" s="1">
        <v>0.2</v>
      </c>
      <c r="R6" s="1" t="s">
        <v>10</v>
      </c>
    </row>
    <row r="7" spans="4:18" x14ac:dyDescent="0.25">
      <c r="D7" s="1" t="s">
        <v>12</v>
      </c>
      <c r="E7" s="1">
        <v>361</v>
      </c>
      <c r="F7" s="1">
        <f>Q7-E7</f>
        <v>658</v>
      </c>
      <c r="G7" s="1">
        <f>P7-E7</f>
        <v>806</v>
      </c>
      <c r="H7" s="1">
        <f>R7-E7-F7-G7</f>
        <v>3268</v>
      </c>
      <c r="I7" s="1">
        <f>E7/(E7+G7)</f>
        <v>0.30934018851756639</v>
      </c>
      <c r="J7" s="1">
        <f>G7/(G7+E7)</f>
        <v>0.69065981148243361</v>
      </c>
      <c r="K7" s="1">
        <f>E7/(E7+F7)</f>
        <v>0.35426889106967613</v>
      </c>
      <c r="L7" s="1">
        <f>H7/(H7+G7)</f>
        <v>0.80216003927344137</v>
      </c>
      <c r="M7" s="1">
        <f>(2*I7*K7)/(I7+K7)</f>
        <v>0.33028362305580972</v>
      </c>
      <c r="N7" s="1">
        <f>(E7+H7)/(E7+F7+H7+G7)</f>
        <v>0.71254663263302576</v>
      </c>
      <c r="O7" s="1"/>
      <c r="P7" s="1">
        <v>1167</v>
      </c>
      <c r="Q7" s="1">
        <v>1019</v>
      </c>
      <c r="R7" s="1">
        <v>5093</v>
      </c>
    </row>
    <row r="8" spans="4:18" x14ac:dyDescent="0.25">
      <c r="D8" s="1" t="s">
        <v>13</v>
      </c>
      <c r="E8" s="1">
        <v>364</v>
      </c>
      <c r="F8" s="1">
        <f t="shared" ref="F8:F18" si="0">Q8-E8</f>
        <v>655</v>
      </c>
      <c r="G8" s="1">
        <f t="shared" ref="G8:G18" si="1">P8-E8</f>
        <v>803</v>
      </c>
      <c r="H8" s="1">
        <f t="shared" ref="H8:H18" si="2">R8-E8-F8-G8</f>
        <v>3271</v>
      </c>
      <c r="I8" s="1">
        <f t="shared" ref="I8:I18" si="3">E8/(E8+G8)</f>
        <v>0.31191088260497002</v>
      </c>
      <c r="J8" s="1">
        <f t="shared" ref="J8:J18" si="4">G8/(G8+E8)</f>
        <v>0.68808911739502998</v>
      </c>
      <c r="K8" s="1">
        <f t="shared" ref="K8:K18" si="5">E8/(E8+F8)</f>
        <v>0.35721295387634938</v>
      </c>
      <c r="L8" s="1">
        <f t="shared" ref="L8:L18" si="6">H8/(H8+G8)</f>
        <v>0.80289641629847819</v>
      </c>
      <c r="M8" s="1">
        <f t="shared" ref="M8:M18" si="7">(2*I8*K8)/(I8+K8)</f>
        <v>0.33302836230558097</v>
      </c>
      <c r="N8" s="1">
        <f t="shared" ref="N8:N18" si="8">(E8+H8)/(E8+F8+H8+G8)</f>
        <v>0.71372472020420186</v>
      </c>
      <c r="O8" s="1"/>
      <c r="P8" s="1">
        <v>1167</v>
      </c>
      <c r="Q8" s="1">
        <v>1019</v>
      </c>
      <c r="R8" s="1">
        <v>5093</v>
      </c>
    </row>
    <row r="9" spans="4:18" x14ac:dyDescent="0.25">
      <c r="D9" s="1" t="s">
        <v>14</v>
      </c>
      <c r="E9" s="1">
        <v>411</v>
      </c>
      <c r="F9" s="1">
        <f t="shared" si="0"/>
        <v>608</v>
      </c>
      <c r="G9" s="1">
        <f t="shared" si="1"/>
        <v>756</v>
      </c>
      <c r="H9" s="1">
        <f t="shared" si="2"/>
        <v>3318</v>
      </c>
      <c r="I9" s="1">
        <f t="shared" si="3"/>
        <v>0.35218508997429304</v>
      </c>
      <c r="J9" s="1">
        <f t="shared" si="4"/>
        <v>0.6478149100257069</v>
      </c>
      <c r="K9" s="1">
        <f t="shared" si="5"/>
        <v>0.40333660451422965</v>
      </c>
      <c r="L9" s="1">
        <f t="shared" si="6"/>
        <v>0.81443298969072164</v>
      </c>
      <c r="M9" s="1">
        <f t="shared" si="7"/>
        <v>0.37602927721866425</v>
      </c>
      <c r="N9" s="1">
        <f t="shared" si="8"/>
        <v>0.7321814254859611</v>
      </c>
      <c r="O9" s="1"/>
      <c r="P9" s="1">
        <v>1167</v>
      </c>
      <c r="Q9" s="1">
        <v>1019</v>
      </c>
      <c r="R9" s="1">
        <v>5093</v>
      </c>
    </row>
    <row r="10" spans="4:18" x14ac:dyDescent="0.25">
      <c r="D10" s="1" t="s">
        <v>15</v>
      </c>
      <c r="E10" s="1">
        <v>377</v>
      </c>
      <c r="F10" s="1">
        <f t="shared" si="0"/>
        <v>642</v>
      </c>
      <c r="G10" s="1">
        <f t="shared" si="1"/>
        <v>790</v>
      </c>
      <c r="H10" s="1">
        <f t="shared" si="2"/>
        <v>3284</v>
      </c>
      <c r="I10" s="1">
        <f t="shared" si="3"/>
        <v>0.32305055698371893</v>
      </c>
      <c r="J10" s="1">
        <f t="shared" si="4"/>
        <v>0.67694944301628102</v>
      </c>
      <c r="K10" s="1">
        <f t="shared" si="5"/>
        <v>0.36997055937193329</v>
      </c>
      <c r="L10" s="1">
        <f t="shared" si="6"/>
        <v>0.80608738340697106</v>
      </c>
      <c r="M10" s="1">
        <f t="shared" si="7"/>
        <v>0.34492223238792319</v>
      </c>
      <c r="N10" s="1">
        <f t="shared" si="8"/>
        <v>0.71882976634596507</v>
      </c>
      <c r="O10" s="1"/>
      <c r="P10" s="1">
        <v>1167</v>
      </c>
      <c r="Q10" s="1">
        <v>1019</v>
      </c>
      <c r="R10" s="1">
        <v>5093</v>
      </c>
    </row>
    <row r="11" spans="4:18" x14ac:dyDescent="0.25">
      <c r="D11" s="1" t="s">
        <v>16</v>
      </c>
      <c r="E11" s="1">
        <v>471</v>
      </c>
      <c r="F11" s="1">
        <f t="shared" si="0"/>
        <v>548</v>
      </c>
      <c r="G11" s="1">
        <f t="shared" si="1"/>
        <v>696</v>
      </c>
      <c r="H11" s="1">
        <f t="shared" si="2"/>
        <v>3378</v>
      </c>
      <c r="I11" s="1">
        <f t="shared" si="3"/>
        <v>0.40359897172236503</v>
      </c>
      <c r="J11" s="1">
        <f t="shared" si="4"/>
        <v>0.59640102827763497</v>
      </c>
      <c r="K11" s="1">
        <f t="shared" si="5"/>
        <v>0.46221786064769382</v>
      </c>
      <c r="L11" s="1">
        <f t="shared" si="6"/>
        <v>0.82916053019145808</v>
      </c>
      <c r="M11" s="1">
        <f t="shared" si="7"/>
        <v>0.43092406221408974</v>
      </c>
      <c r="N11" s="1">
        <f t="shared" si="8"/>
        <v>0.75574317690948356</v>
      </c>
      <c r="O11" s="1"/>
      <c r="P11" s="1">
        <v>1167</v>
      </c>
      <c r="Q11" s="1">
        <v>1019</v>
      </c>
      <c r="R11" s="1">
        <v>5093</v>
      </c>
    </row>
    <row r="12" spans="4:18" x14ac:dyDescent="0.25">
      <c r="D12" s="1" t="s">
        <v>17</v>
      </c>
      <c r="E12" s="1">
        <v>465</v>
      </c>
      <c r="F12" s="1">
        <f t="shared" si="0"/>
        <v>554</v>
      </c>
      <c r="G12" s="1">
        <f t="shared" si="1"/>
        <v>702</v>
      </c>
      <c r="H12" s="1">
        <f t="shared" si="2"/>
        <v>3372</v>
      </c>
      <c r="I12" s="1">
        <f t="shared" si="3"/>
        <v>0.39845758354755784</v>
      </c>
      <c r="J12" s="1">
        <f t="shared" si="4"/>
        <v>0.60154241645244211</v>
      </c>
      <c r="K12" s="1">
        <f t="shared" si="5"/>
        <v>0.45632973503434737</v>
      </c>
      <c r="L12" s="1">
        <f t="shared" si="6"/>
        <v>0.82768777614138433</v>
      </c>
      <c r="M12" s="1">
        <f t="shared" si="7"/>
        <v>0.42543458371454707</v>
      </c>
      <c r="N12" s="1">
        <f t="shared" si="8"/>
        <v>0.75338700176713136</v>
      </c>
      <c r="O12" s="1"/>
      <c r="P12" s="1">
        <v>1167</v>
      </c>
      <c r="Q12" s="1">
        <v>1019</v>
      </c>
      <c r="R12" s="1">
        <v>5093</v>
      </c>
    </row>
    <row r="13" spans="4:18" x14ac:dyDescent="0.25">
      <c r="D13" s="1" t="s">
        <v>18</v>
      </c>
      <c r="E13" s="1">
        <v>377</v>
      </c>
      <c r="F13" s="1">
        <f t="shared" si="0"/>
        <v>642</v>
      </c>
      <c r="G13" s="1">
        <f t="shared" si="1"/>
        <v>790</v>
      </c>
      <c r="H13" s="1">
        <f t="shared" si="2"/>
        <v>3284</v>
      </c>
      <c r="I13" s="1">
        <f t="shared" si="3"/>
        <v>0.32305055698371893</v>
      </c>
      <c r="J13" s="1">
        <f t="shared" si="4"/>
        <v>0.67694944301628102</v>
      </c>
      <c r="K13" s="1">
        <f t="shared" si="5"/>
        <v>0.36997055937193329</v>
      </c>
      <c r="L13" s="1">
        <f t="shared" si="6"/>
        <v>0.80608738340697106</v>
      </c>
      <c r="M13" s="1">
        <f t="shared" si="7"/>
        <v>0.34492223238792319</v>
      </c>
      <c r="N13" s="1">
        <f t="shared" si="8"/>
        <v>0.71882976634596507</v>
      </c>
      <c r="O13" s="1"/>
      <c r="P13" s="1">
        <v>1167</v>
      </c>
      <c r="Q13" s="1">
        <v>1019</v>
      </c>
      <c r="R13" s="1">
        <v>5093</v>
      </c>
    </row>
    <row r="14" spans="4:18" x14ac:dyDescent="0.25">
      <c r="D14" s="1" t="s">
        <v>19</v>
      </c>
      <c r="E14" s="1">
        <v>411</v>
      </c>
      <c r="F14" s="1">
        <f t="shared" si="0"/>
        <v>608</v>
      </c>
      <c r="G14" s="1">
        <f t="shared" si="1"/>
        <v>756</v>
      </c>
      <c r="H14" s="1">
        <f t="shared" si="2"/>
        <v>3318</v>
      </c>
      <c r="I14" s="1">
        <f t="shared" si="3"/>
        <v>0.35218508997429304</v>
      </c>
      <c r="J14" s="1">
        <f t="shared" si="4"/>
        <v>0.6478149100257069</v>
      </c>
      <c r="K14" s="1">
        <f t="shared" si="5"/>
        <v>0.40333660451422965</v>
      </c>
      <c r="L14" s="1">
        <f t="shared" si="6"/>
        <v>0.81443298969072164</v>
      </c>
      <c r="M14" s="1">
        <f t="shared" si="7"/>
        <v>0.37602927721866425</v>
      </c>
      <c r="N14" s="1">
        <f t="shared" si="8"/>
        <v>0.7321814254859611</v>
      </c>
      <c r="O14" s="1"/>
      <c r="P14" s="1">
        <v>1167</v>
      </c>
      <c r="Q14" s="1">
        <v>1019</v>
      </c>
      <c r="R14" s="1">
        <v>5093</v>
      </c>
    </row>
    <row r="15" spans="4:18" x14ac:dyDescent="0.25">
      <c r="D15" s="1" t="s">
        <v>20</v>
      </c>
      <c r="E15" s="1">
        <v>521</v>
      </c>
      <c r="F15" s="1">
        <f t="shared" si="0"/>
        <v>498</v>
      </c>
      <c r="G15" s="1">
        <f t="shared" si="1"/>
        <v>646</v>
      </c>
      <c r="H15" s="1">
        <f t="shared" si="2"/>
        <v>3428</v>
      </c>
      <c r="I15" s="1">
        <f t="shared" si="3"/>
        <v>0.44644387317909168</v>
      </c>
      <c r="J15" s="1">
        <f t="shared" si="4"/>
        <v>0.55355612682090827</v>
      </c>
      <c r="K15" s="1">
        <f t="shared" si="5"/>
        <v>0.51128557409224729</v>
      </c>
      <c r="L15" s="1">
        <f t="shared" si="6"/>
        <v>0.84143348060873835</v>
      </c>
      <c r="M15" s="1">
        <f t="shared" si="7"/>
        <v>0.47666971637694422</v>
      </c>
      <c r="N15" s="1">
        <f t="shared" si="8"/>
        <v>0.77537796976241902</v>
      </c>
      <c r="O15" s="1"/>
      <c r="P15" s="1">
        <v>1167</v>
      </c>
      <c r="Q15" s="1">
        <v>1019</v>
      </c>
      <c r="R15" s="1">
        <v>5093</v>
      </c>
    </row>
    <row r="16" spans="4:18" x14ac:dyDescent="0.25">
      <c r="D16" s="1" t="s">
        <v>21</v>
      </c>
      <c r="E16" s="1">
        <v>523</v>
      </c>
      <c r="F16" s="1">
        <f t="shared" si="0"/>
        <v>496</v>
      </c>
      <c r="G16" s="1">
        <f t="shared" si="1"/>
        <v>644</v>
      </c>
      <c r="H16" s="1">
        <f t="shared" si="2"/>
        <v>3430</v>
      </c>
      <c r="I16" s="1">
        <f t="shared" si="3"/>
        <v>0.44815766923736078</v>
      </c>
      <c r="J16" s="1">
        <f t="shared" si="4"/>
        <v>0.55184233076263922</v>
      </c>
      <c r="K16" s="1">
        <f t="shared" si="5"/>
        <v>0.51324828263002942</v>
      </c>
      <c r="L16" s="1">
        <f t="shared" si="6"/>
        <v>0.84192439862542956</v>
      </c>
      <c r="M16" s="1">
        <f t="shared" si="7"/>
        <v>0.47849954254345839</v>
      </c>
      <c r="N16" s="1">
        <f t="shared" si="8"/>
        <v>0.77616336147653642</v>
      </c>
      <c r="O16" s="1"/>
      <c r="P16" s="1">
        <v>1167</v>
      </c>
      <c r="Q16" s="1">
        <v>1019</v>
      </c>
      <c r="R16" s="1">
        <v>5093</v>
      </c>
    </row>
    <row r="17" spans="4:18" x14ac:dyDescent="0.25">
      <c r="D17" s="1" t="s">
        <v>25</v>
      </c>
      <c r="E17" s="1">
        <v>524</v>
      </c>
      <c r="F17" s="1">
        <f t="shared" si="0"/>
        <v>495</v>
      </c>
      <c r="G17" s="1">
        <f t="shared" si="1"/>
        <v>643</v>
      </c>
      <c r="H17" s="1">
        <f t="shared" si="2"/>
        <v>3431</v>
      </c>
      <c r="I17" s="1">
        <f t="shared" si="3"/>
        <v>0.4490145672664953</v>
      </c>
      <c r="J17" s="1">
        <f t="shared" si="4"/>
        <v>0.55098543273350475</v>
      </c>
      <c r="K17" s="1">
        <f t="shared" si="5"/>
        <v>0.51422963689892054</v>
      </c>
      <c r="L17" s="1">
        <f t="shared" si="6"/>
        <v>0.84216985763377517</v>
      </c>
      <c r="M17" s="1">
        <f t="shared" si="7"/>
        <v>0.47941445562671542</v>
      </c>
      <c r="N17" s="1">
        <f t="shared" si="8"/>
        <v>0.77655605733359512</v>
      </c>
      <c r="O17" s="1"/>
      <c r="P17" s="1">
        <v>1167</v>
      </c>
      <c r="Q17" s="1">
        <v>1019</v>
      </c>
      <c r="R17" s="1">
        <v>5093</v>
      </c>
    </row>
    <row r="18" spans="4:18" x14ac:dyDescent="0.25">
      <c r="D18" s="1" t="s">
        <v>32</v>
      </c>
      <c r="E18" s="1">
        <v>535</v>
      </c>
      <c r="F18" s="1">
        <f t="shared" si="0"/>
        <v>484</v>
      </c>
      <c r="G18" s="1">
        <f t="shared" si="1"/>
        <v>632</v>
      </c>
      <c r="H18" s="1">
        <f t="shared" si="2"/>
        <v>3442</v>
      </c>
      <c r="I18" s="1">
        <f t="shared" si="3"/>
        <v>0.45844044558697516</v>
      </c>
      <c r="J18" s="1">
        <f t="shared" si="4"/>
        <v>0.54155955441302484</v>
      </c>
      <c r="K18" s="1">
        <f t="shared" si="5"/>
        <v>0.52502453385672232</v>
      </c>
      <c r="L18" s="1">
        <f t="shared" si="6"/>
        <v>0.84486990672557682</v>
      </c>
      <c r="M18" s="1">
        <f t="shared" si="7"/>
        <v>0.48947849954254347</v>
      </c>
      <c r="N18" s="1">
        <f t="shared" si="8"/>
        <v>0.78087571176124093</v>
      </c>
      <c r="P18" s="1">
        <v>1167</v>
      </c>
      <c r="Q18" s="1">
        <v>1019</v>
      </c>
      <c r="R18" s="1">
        <v>5093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R20"/>
  <sheetViews>
    <sheetView topLeftCell="A10" workbookViewId="0">
      <selection activeCell="I19" sqref="I19:N19"/>
    </sheetView>
  </sheetViews>
  <sheetFormatPr defaultRowHeight="15" x14ac:dyDescent="0.25"/>
  <cols>
    <col min="4" max="4" width="14.5703125" bestFit="1" customWidth="1"/>
  </cols>
  <sheetData>
    <row r="6" spans="4:18" x14ac:dyDescent="0.25">
      <c r="D6" s="1" t="s">
        <v>23</v>
      </c>
      <c r="E6" s="1" t="s">
        <v>0</v>
      </c>
      <c r="F6" s="1" t="s">
        <v>1</v>
      </c>
      <c r="G6" s="1" t="s">
        <v>2</v>
      </c>
      <c r="H6" s="1" t="s">
        <v>3</v>
      </c>
      <c r="I6" s="1" t="s">
        <v>4</v>
      </c>
      <c r="J6" s="1" t="s">
        <v>5</v>
      </c>
      <c r="K6" s="1" t="s">
        <v>6</v>
      </c>
      <c r="L6" s="1" t="s">
        <v>7</v>
      </c>
      <c r="M6" s="1" t="s">
        <v>8</v>
      </c>
      <c r="N6" s="1" t="s">
        <v>9</v>
      </c>
      <c r="O6" s="1"/>
      <c r="P6" s="1" t="s">
        <v>11</v>
      </c>
      <c r="Q6" s="1">
        <v>0.2</v>
      </c>
      <c r="R6" s="1" t="s">
        <v>10</v>
      </c>
    </row>
    <row r="7" spans="4:18" x14ac:dyDescent="0.25">
      <c r="D7" s="1" t="s">
        <v>12</v>
      </c>
      <c r="E7" s="1">
        <v>366</v>
      </c>
      <c r="F7" s="1">
        <f>Q7-E7</f>
        <v>583</v>
      </c>
      <c r="G7" s="1">
        <f>P7-E7</f>
        <v>742</v>
      </c>
      <c r="H7" s="1">
        <f>R7-E7-F7-G7</f>
        <v>3052</v>
      </c>
      <c r="I7" s="1">
        <f>E7/(E7+G7)</f>
        <v>0.33032490974729239</v>
      </c>
      <c r="J7" s="1">
        <f>G7/(G7+E7)</f>
        <v>0.66967509025270755</v>
      </c>
      <c r="K7" s="1">
        <f>E7/(E7+F7)</f>
        <v>0.3856691253951528</v>
      </c>
      <c r="L7" s="1">
        <f>H7/(H7+G7)</f>
        <v>0.80442804428044279</v>
      </c>
      <c r="M7" s="1">
        <f>(2*I7*K7)/(I7+K7)</f>
        <v>0.35585804569761786</v>
      </c>
      <c r="N7" s="1">
        <f>(E7+H7)/(E7+F7+H7+G7)</f>
        <v>0.72064094454986294</v>
      </c>
      <c r="O7" s="1"/>
      <c r="P7" s="1">
        <v>1108</v>
      </c>
      <c r="Q7" s="1">
        <v>949</v>
      </c>
      <c r="R7" s="1">
        <v>4743</v>
      </c>
    </row>
    <row r="8" spans="4:18" x14ac:dyDescent="0.25">
      <c r="D8" s="1" t="s">
        <v>13</v>
      </c>
      <c r="E8" s="1">
        <v>382</v>
      </c>
      <c r="F8" s="1">
        <f t="shared" ref="F8:F19" si="0">Q8-E8</f>
        <v>567</v>
      </c>
      <c r="G8" s="1">
        <f t="shared" ref="G8:G19" si="1">P8-E8</f>
        <v>726</v>
      </c>
      <c r="H8" s="1">
        <f t="shared" ref="H8:H19" si="2">R8-E8-F8-G8</f>
        <v>3068</v>
      </c>
      <c r="I8" s="1">
        <f t="shared" ref="I8:I19" si="3">E8/(E8+G8)</f>
        <v>0.34476534296028882</v>
      </c>
      <c r="J8" s="1">
        <f t="shared" ref="J8:J19" si="4">G8/(G8+E8)</f>
        <v>0.65523465703971118</v>
      </c>
      <c r="K8" s="1">
        <f t="shared" ref="K8:K19" si="5">E8/(E8+F8)</f>
        <v>0.40252897787144365</v>
      </c>
      <c r="L8" s="1">
        <f t="shared" ref="L8:L19" si="6">H8/(H8+G8)</f>
        <v>0.80864522930943594</v>
      </c>
      <c r="M8" s="1">
        <f t="shared" ref="M8:M19" si="7">(2*I8*K8)/(I8+K8)</f>
        <v>0.37141468157510937</v>
      </c>
      <c r="N8" s="1">
        <f t="shared" ref="N8:N19" si="8">(E8+H8)/(E8+F8+H8+G8)</f>
        <v>0.72738772928526252</v>
      </c>
      <c r="O8" s="1"/>
      <c r="P8" s="1">
        <v>1108</v>
      </c>
      <c r="Q8" s="1">
        <v>949</v>
      </c>
      <c r="R8" s="1">
        <v>4743</v>
      </c>
    </row>
    <row r="9" spans="4:18" x14ac:dyDescent="0.25">
      <c r="D9" s="1" t="s">
        <v>14</v>
      </c>
      <c r="E9" s="1">
        <v>449</v>
      </c>
      <c r="F9" s="1">
        <f t="shared" si="0"/>
        <v>500</v>
      </c>
      <c r="G9" s="1">
        <f t="shared" si="1"/>
        <v>659</v>
      </c>
      <c r="H9" s="1">
        <f t="shared" si="2"/>
        <v>3135</v>
      </c>
      <c r="I9" s="1">
        <f t="shared" si="3"/>
        <v>0.40523465703971118</v>
      </c>
      <c r="J9" s="1">
        <f t="shared" si="4"/>
        <v>0.59476534296028882</v>
      </c>
      <c r="K9" s="1">
        <f t="shared" si="5"/>
        <v>0.47312961011591148</v>
      </c>
      <c r="L9" s="1">
        <f t="shared" si="6"/>
        <v>0.82630469161834474</v>
      </c>
      <c r="M9" s="1">
        <f t="shared" si="7"/>
        <v>0.43655809431210502</v>
      </c>
      <c r="N9" s="1">
        <f t="shared" si="8"/>
        <v>0.7556398903647481</v>
      </c>
      <c r="O9" s="1"/>
      <c r="P9" s="1">
        <v>1108</v>
      </c>
      <c r="Q9" s="1">
        <v>949</v>
      </c>
      <c r="R9" s="1">
        <v>4743</v>
      </c>
    </row>
    <row r="10" spans="4:18" x14ac:dyDescent="0.25">
      <c r="D10" s="1" t="s">
        <v>15</v>
      </c>
      <c r="E10" s="1">
        <v>322</v>
      </c>
      <c r="F10" s="1">
        <f t="shared" si="0"/>
        <v>627</v>
      </c>
      <c r="G10" s="1">
        <f t="shared" si="1"/>
        <v>786</v>
      </c>
      <c r="H10" s="1">
        <f t="shared" si="2"/>
        <v>3008</v>
      </c>
      <c r="I10" s="1">
        <f t="shared" si="3"/>
        <v>0.29061371841155237</v>
      </c>
      <c r="J10" s="1">
        <f t="shared" si="4"/>
        <v>0.70938628158844763</v>
      </c>
      <c r="K10" s="1">
        <f t="shared" si="5"/>
        <v>0.33930453108535302</v>
      </c>
      <c r="L10" s="1">
        <f t="shared" si="6"/>
        <v>0.79283078545071162</v>
      </c>
      <c r="M10" s="1">
        <f t="shared" si="7"/>
        <v>0.31307729703451631</v>
      </c>
      <c r="N10" s="1">
        <f t="shared" si="8"/>
        <v>0.70208728652751418</v>
      </c>
      <c r="O10" s="1"/>
      <c r="P10" s="1">
        <v>1108</v>
      </c>
      <c r="Q10" s="1">
        <v>949</v>
      </c>
      <c r="R10" s="1">
        <v>4743</v>
      </c>
    </row>
    <row r="11" spans="4:18" x14ac:dyDescent="0.25">
      <c r="D11" s="1" t="s">
        <v>16</v>
      </c>
      <c r="E11" s="1">
        <v>476</v>
      </c>
      <c r="F11" s="1">
        <f t="shared" si="0"/>
        <v>473</v>
      </c>
      <c r="G11" s="1">
        <f t="shared" si="1"/>
        <v>632</v>
      </c>
      <c r="H11" s="1">
        <f t="shared" si="2"/>
        <v>3162</v>
      </c>
      <c r="I11" s="1">
        <f t="shared" si="3"/>
        <v>0.4296028880866426</v>
      </c>
      <c r="J11" s="1">
        <f t="shared" si="4"/>
        <v>0.5703971119133574</v>
      </c>
      <c r="K11" s="1">
        <f t="shared" si="5"/>
        <v>0.50158061116965225</v>
      </c>
      <c r="L11" s="1">
        <f t="shared" si="6"/>
        <v>0.83342119135477066</v>
      </c>
      <c r="M11" s="1">
        <f t="shared" si="7"/>
        <v>0.46280991735537186</v>
      </c>
      <c r="N11" s="1">
        <f t="shared" si="8"/>
        <v>0.76702508960573479</v>
      </c>
      <c r="O11" s="1"/>
      <c r="P11" s="1">
        <v>1108</v>
      </c>
      <c r="Q11" s="1">
        <v>949</v>
      </c>
      <c r="R11" s="1">
        <v>4743</v>
      </c>
    </row>
    <row r="12" spans="4:18" x14ac:dyDescent="0.25">
      <c r="D12" s="1" t="s">
        <v>17</v>
      </c>
      <c r="E12" s="1">
        <v>481</v>
      </c>
      <c r="F12" s="1">
        <f t="shared" si="0"/>
        <v>468</v>
      </c>
      <c r="G12" s="1">
        <f t="shared" si="1"/>
        <v>627</v>
      </c>
      <c r="H12" s="1">
        <f t="shared" si="2"/>
        <v>3167</v>
      </c>
      <c r="I12" s="1">
        <f t="shared" si="3"/>
        <v>0.43411552346570398</v>
      </c>
      <c r="J12" s="1">
        <f t="shared" si="4"/>
        <v>0.56588447653429608</v>
      </c>
      <c r="K12" s="1">
        <f t="shared" si="5"/>
        <v>0.50684931506849318</v>
      </c>
      <c r="L12" s="1">
        <f t="shared" si="6"/>
        <v>0.83473906167633105</v>
      </c>
      <c r="M12" s="1">
        <f t="shared" si="7"/>
        <v>0.46767136606708803</v>
      </c>
      <c r="N12" s="1">
        <f t="shared" si="8"/>
        <v>0.76913345983554715</v>
      </c>
      <c r="O12" s="1"/>
      <c r="P12" s="1">
        <v>1108</v>
      </c>
      <c r="Q12" s="1">
        <v>949</v>
      </c>
      <c r="R12" s="1">
        <v>4743</v>
      </c>
    </row>
    <row r="13" spans="4:18" x14ac:dyDescent="0.25">
      <c r="D13" s="1" t="s">
        <v>18</v>
      </c>
      <c r="E13" s="1">
        <v>322</v>
      </c>
      <c r="F13" s="1">
        <f t="shared" si="0"/>
        <v>627</v>
      </c>
      <c r="G13" s="1">
        <f t="shared" si="1"/>
        <v>786</v>
      </c>
      <c r="H13" s="1">
        <f t="shared" si="2"/>
        <v>3008</v>
      </c>
      <c r="I13" s="1">
        <f t="shared" si="3"/>
        <v>0.29061371841155237</v>
      </c>
      <c r="J13" s="1">
        <f t="shared" si="4"/>
        <v>0.70938628158844763</v>
      </c>
      <c r="K13" s="1">
        <f t="shared" si="5"/>
        <v>0.33930453108535302</v>
      </c>
      <c r="L13" s="1">
        <f t="shared" si="6"/>
        <v>0.79283078545071162</v>
      </c>
      <c r="M13" s="1">
        <f t="shared" si="7"/>
        <v>0.31307729703451631</v>
      </c>
      <c r="N13" s="1">
        <f t="shared" si="8"/>
        <v>0.70208728652751418</v>
      </c>
      <c r="O13" s="1"/>
      <c r="P13" s="1">
        <v>1108</v>
      </c>
      <c r="Q13" s="1">
        <v>949</v>
      </c>
      <c r="R13" s="1">
        <v>4743</v>
      </c>
    </row>
    <row r="14" spans="4:18" x14ac:dyDescent="0.25">
      <c r="D14" s="1" t="s">
        <v>19</v>
      </c>
      <c r="E14" s="1">
        <v>449</v>
      </c>
      <c r="F14" s="1">
        <f t="shared" si="0"/>
        <v>500</v>
      </c>
      <c r="G14" s="1">
        <f t="shared" si="1"/>
        <v>659</v>
      </c>
      <c r="H14" s="1">
        <f t="shared" si="2"/>
        <v>3135</v>
      </c>
      <c r="I14" s="1">
        <f t="shared" si="3"/>
        <v>0.40523465703971118</v>
      </c>
      <c r="J14" s="1">
        <f t="shared" si="4"/>
        <v>0.59476534296028882</v>
      </c>
      <c r="K14" s="1">
        <f t="shared" si="5"/>
        <v>0.47312961011591148</v>
      </c>
      <c r="L14" s="1">
        <f t="shared" si="6"/>
        <v>0.82630469161834474</v>
      </c>
      <c r="M14" s="1">
        <f t="shared" si="7"/>
        <v>0.43655809431210502</v>
      </c>
      <c r="N14" s="1">
        <f t="shared" si="8"/>
        <v>0.7556398903647481</v>
      </c>
      <c r="O14" s="1"/>
      <c r="P14" s="1">
        <v>1108</v>
      </c>
      <c r="Q14" s="1">
        <v>949</v>
      </c>
      <c r="R14" s="1">
        <v>4743</v>
      </c>
    </row>
    <row r="15" spans="4:18" x14ac:dyDescent="0.25">
      <c r="D15" s="1" t="s">
        <v>20</v>
      </c>
      <c r="E15" s="1">
        <v>498</v>
      </c>
      <c r="F15" s="1">
        <f t="shared" si="0"/>
        <v>451</v>
      </c>
      <c r="G15" s="1">
        <f t="shared" si="1"/>
        <v>610</v>
      </c>
      <c r="H15" s="1">
        <f t="shared" si="2"/>
        <v>3184</v>
      </c>
      <c r="I15" s="1">
        <f t="shared" si="3"/>
        <v>0.44945848375451264</v>
      </c>
      <c r="J15" s="1">
        <f t="shared" si="4"/>
        <v>0.55054151624548742</v>
      </c>
      <c r="K15" s="1">
        <f t="shared" si="5"/>
        <v>0.52476290832455219</v>
      </c>
      <c r="L15" s="1">
        <f t="shared" si="6"/>
        <v>0.8392198207696363</v>
      </c>
      <c r="M15" s="1">
        <f t="shared" si="7"/>
        <v>0.48420029168692275</v>
      </c>
      <c r="N15" s="1">
        <f t="shared" si="8"/>
        <v>0.77630191861690911</v>
      </c>
      <c r="O15" s="1"/>
      <c r="P15" s="1">
        <v>1108</v>
      </c>
      <c r="Q15" s="1">
        <v>949</v>
      </c>
      <c r="R15" s="1">
        <v>4743</v>
      </c>
    </row>
    <row r="16" spans="4:18" x14ac:dyDescent="0.25">
      <c r="D16" s="1" t="s">
        <v>21</v>
      </c>
      <c r="E16" s="1">
        <v>498</v>
      </c>
      <c r="F16" s="1">
        <f t="shared" si="0"/>
        <v>451</v>
      </c>
      <c r="G16" s="1">
        <f t="shared" si="1"/>
        <v>610</v>
      </c>
      <c r="H16" s="1">
        <f t="shared" si="2"/>
        <v>3184</v>
      </c>
      <c r="I16" s="1">
        <f t="shared" si="3"/>
        <v>0.44945848375451264</v>
      </c>
      <c r="J16" s="1">
        <f t="shared" si="4"/>
        <v>0.55054151624548742</v>
      </c>
      <c r="K16" s="1">
        <f t="shared" si="5"/>
        <v>0.52476290832455219</v>
      </c>
      <c r="L16" s="1">
        <f t="shared" si="6"/>
        <v>0.8392198207696363</v>
      </c>
      <c r="M16" s="1">
        <f t="shared" si="7"/>
        <v>0.48420029168692275</v>
      </c>
      <c r="N16" s="1">
        <f t="shared" si="8"/>
        <v>0.77630191861690911</v>
      </c>
      <c r="O16" s="1"/>
      <c r="P16" s="1">
        <v>1108</v>
      </c>
      <c r="Q16" s="1">
        <v>949</v>
      </c>
      <c r="R16" s="1">
        <v>4743</v>
      </c>
    </row>
    <row r="17" spans="4:18" x14ac:dyDescent="0.25">
      <c r="D17" s="1" t="s">
        <v>24</v>
      </c>
      <c r="E17" s="1">
        <v>498</v>
      </c>
      <c r="F17" s="1">
        <f t="shared" si="0"/>
        <v>451</v>
      </c>
      <c r="G17" s="1">
        <f t="shared" si="1"/>
        <v>610</v>
      </c>
      <c r="H17" s="1">
        <f t="shared" si="2"/>
        <v>3184</v>
      </c>
      <c r="I17" s="1">
        <f t="shared" si="3"/>
        <v>0.44945848375451264</v>
      </c>
      <c r="J17" s="1">
        <f t="shared" si="4"/>
        <v>0.55054151624548742</v>
      </c>
      <c r="K17" s="1">
        <f t="shared" si="5"/>
        <v>0.52476290832455219</v>
      </c>
      <c r="L17" s="1">
        <f t="shared" si="6"/>
        <v>0.8392198207696363</v>
      </c>
      <c r="M17" s="1">
        <f t="shared" si="7"/>
        <v>0.48420029168692275</v>
      </c>
      <c r="N17" s="1">
        <f t="shared" si="8"/>
        <v>0.77630191861690911</v>
      </c>
      <c r="O17" s="1"/>
      <c r="P17" s="1">
        <v>1108</v>
      </c>
      <c r="Q17" s="1">
        <v>949</v>
      </c>
      <c r="R17" s="1">
        <v>4743</v>
      </c>
    </row>
    <row r="18" spans="4:18" x14ac:dyDescent="0.25">
      <c r="D18" s="1" t="s">
        <v>25</v>
      </c>
      <c r="E18" s="1">
        <v>501</v>
      </c>
      <c r="F18" s="1">
        <f t="shared" si="0"/>
        <v>448</v>
      </c>
      <c r="G18" s="1">
        <f t="shared" si="1"/>
        <v>607</v>
      </c>
      <c r="H18" s="1">
        <f t="shared" si="2"/>
        <v>3187</v>
      </c>
      <c r="I18" s="1">
        <f t="shared" si="3"/>
        <v>0.45216606498194944</v>
      </c>
      <c r="J18" s="1">
        <f t="shared" si="4"/>
        <v>0.54783393501805056</v>
      </c>
      <c r="K18" s="1">
        <f t="shared" si="5"/>
        <v>0.52792413066385668</v>
      </c>
      <c r="L18" s="1">
        <f t="shared" si="6"/>
        <v>0.84001054296257249</v>
      </c>
      <c r="M18" s="1">
        <f t="shared" si="7"/>
        <v>0.48711716091395235</v>
      </c>
      <c r="N18" s="1">
        <f t="shared" si="8"/>
        <v>0.77756694075479649</v>
      </c>
      <c r="P18" s="1">
        <v>1108</v>
      </c>
      <c r="Q18" s="1">
        <v>949</v>
      </c>
      <c r="R18" s="1">
        <v>4743</v>
      </c>
    </row>
    <row r="19" spans="4:18" x14ac:dyDescent="0.25">
      <c r="D19" s="1" t="s">
        <v>32</v>
      </c>
      <c r="E19" s="1">
        <v>538</v>
      </c>
      <c r="F19" s="1">
        <f t="shared" si="0"/>
        <v>411</v>
      </c>
      <c r="G19" s="1">
        <f t="shared" si="1"/>
        <v>570</v>
      </c>
      <c r="H19" s="1">
        <f t="shared" si="2"/>
        <v>3224</v>
      </c>
      <c r="I19" s="1">
        <f t="shared" si="3"/>
        <v>0.48555956678700363</v>
      </c>
      <c r="J19" s="1">
        <f t="shared" si="4"/>
        <v>0.51444043321299637</v>
      </c>
      <c r="K19" s="1">
        <f t="shared" si="5"/>
        <v>0.5669125395152792</v>
      </c>
      <c r="L19" s="1">
        <f t="shared" si="6"/>
        <v>0.84976278334211919</v>
      </c>
      <c r="M19" s="1">
        <f t="shared" si="7"/>
        <v>0.52309188138065144</v>
      </c>
      <c r="N19" s="1">
        <f t="shared" si="8"/>
        <v>0.79316888045540801</v>
      </c>
      <c r="P19" s="1">
        <v>1108</v>
      </c>
      <c r="Q19" s="1">
        <v>949</v>
      </c>
      <c r="R19" s="1">
        <v>4743</v>
      </c>
    </row>
    <row r="20" spans="4:18" x14ac:dyDescent="0.25">
      <c r="P20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S19"/>
  <sheetViews>
    <sheetView topLeftCell="A4" workbookViewId="0">
      <selection activeCell="J19" sqref="J19:O19"/>
    </sheetView>
  </sheetViews>
  <sheetFormatPr defaultRowHeight="15" x14ac:dyDescent="0.25"/>
  <cols>
    <col min="5" max="5" width="14.42578125" bestFit="1" customWidth="1"/>
  </cols>
  <sheetData>
    <row r="6" spans="5:19" x14ac:dyDescent="0.25">
      <c r="E6" s="1"/>
      <c r="F6" s="1" t="s">
        <v>0</v>
      </c>
      <c r="G6" s="1" t="s">
        <v>1</v>
      </c>
      <c r="H6" s="1" t="s">
        <v>2</v>
      </c>
      <c r="I6" s="1" t="s">
        <v>3</v>
      </c>
      <c r="J6" s="1" t="s">
        <v>4</v>
      </c>
      <c r="K6" s="1" t="s">
        <v>5</v>
      </c>
      <c r="L6" s="1" t="s">
        <v>6</v>
      </c>
      <c r="M6" s="1" t="s">
        <v>7</v>
      </c>
      <c r="N6" s="1" t="s">
        <v>8</v>
      </c>
      <c r="O6" s="1" t="s">
        <v>9</v>
      </c>
      <c r="P6" s="1"/>
      <c r="Q6" s="1" t="s">
        <v>11</v>
      </c>
      <c r="R6" s="1">
        <v>0.2</v>
      </c>
      <c r="S6" s="1" t="s">
        <v>10</v>
      </c>
    </row>
    <row r="7" spans="5:19" x14ac:dyDescent="0.25">
      <c r="E7" s="1" t="s">
        <v>12</v>
      </c>
      <c r="F7" s="1">
        <v>216</v>
      </c>
      <c r="G7" s="1">
        <f>R7-F7</f>
        <v>296</v>
      </c>
      <c r="H7" s="1">
        <f>Q7-F7</f>
        <v>547</v>
      </c>
      <c r="I7" s="1">
        <f>S7-F7-G7-H7</f>
        <v>1500</v>
      </c>
      <c r="J7" s="1">
        <f>F7/(F7+H7)</f>
        <v>0.28309305373525556</v>
      </c>
      <c r="K7" s="1">
        <f>H7/(H7+F7)</f>
        <v>0.71690694626474438</v>
      </c>
      <c r="L7" s="1">
        <f>F7/(F7+G7)</f>
        <v>0.421875</v>
      </c>
      <c r="M7" s="1">
        <f>I7/(I7+H7)</f>
        <v>0.73277967757694185</v>
      </c>
      <c r="N7" s="1">
        <f>(2*J7*L7)/(J7+L7)</f>
        <v>0.33882352941176469</v>
      </c>
      <c r="O7" s="1">
        <f>(F7+I7)/(F7+G7+I7+H7)</f>
        <v>0.67057444314185233</v>
      </c>
      <c r="P7" s="1"/>
      <c r="Q7" s="1">
        <v>763</v>
      </c>
      <c r="R7" s="1">
        <v>512</v>
      </c>
      <c r="S7" s="1">
        <v>2559</v>
      </c>
    </row>
    <row r="8" spans="5:19" x14ac:dyDescent="0.25">
      <c r="E8" s="1" t="s">
        <v>13</v>
      </c>
      <c r="F8" s="1">
        <v>206</v>
      </c>
      <c r="G8" s="1">
        <f t="shared" ref="G8:G19" si="0">R8-F8</f>
        <v>306</v>
      </c>
      <c r="H8" s="1">
        <f t="shared" ref="H8:H19" si="1">Q8-F8</f>
        <v>557</v>
      </c>
      <c r="I8" s="1">
        <f t="shared" ref="I8:I19" si="2">S8-F8-G8-H8</f>
        <v>1490</v>
      </c>
      <c r="J8" s="1">
        <f t="shared" ref="J8:J19" si="3">F8/(F8+H8)</f>
        <v>0.26998689384010482</v>
      </c>
      <c r="K8" s="1">
        <f t="shared" ref="K8:K19" si="4">H8/(H8+F8)</f>
        <v>0.73001310615989512</v>
      </c>
      <c r="L8" s="1">
        <f t="shared" ref="L8:L19" si="5">F8/(F8+G8)</f>
        <v>0.40234375</v>
      </c>
      <c r="M8" s="1">
        <f t="shared" ref="M8:M19" si="6">I8/(I8+H8)</f>
        <v>0.72789447972642896</v>
      </c>
      <c r="N8" s="1">
        <f t="shared" ref="N8:N19" si="7">(2*J8*L8)/(J8+L8)</f>
        <v>0.32313725490196077</v>
      </c>
      <c r="O8" s="1">
        <f t="shared" ref="O8:O19" si="8">(F8+I8)/(F8+G8+I8+H8)</f>
        <v>0.66275889019148104</v>
      </c>
      <c r="P8" s="1"/>
      <c r="Q8" s="1">
        <v>763</v>
      </c>
      <c r="R8" s="1">
        <v>512</v>
      </c>
      <c r="S8" s="1">
        <v>2559</v>
      </c>
    </row>
    <row r="9" spans="5:19" x14ac:dyDescent="0.25">
      <c r="E9" s="1" t="s">
        <v>14</v>
      </c>
      <c r="F9" s="1">
        <v>200</v>
      </c>
      <c r="G9" s="1">
        <f t="shared" si="0"/>
        <v>312</v>
      </c>
      <c r="H9" s="1">
        <f t="shared" si="1"/>
        <v>563</v>
      </c>
      <c r="I9" s="1">
        <f t="shared" si="2"/>
        <v>1484</v>
      </c>
      <c r="J9" s="1">
        <f t="shared" si="3"/>
        <v>0.26212319790301442</v>
      </c>
      <c r="K9" s="1">
        <f t="shared" si="4"/>
        <v>0.73787680209698558</v>
      </c>
      <c r="L9" s="1">
        <f t="shared" si="5"/>
        <v>0.390625</v>
      </c>
      <c r="M9" s="1">
        <f t="shared" si="6"/>
        <v>0.72496336101612113</v>
      </c>
      <c r="N9" s="1">
        <f t="shared" si="7"/>
        <v>0.31372549019607843</v>
      </c>
      <c r="O9" s="1">
        <f t="shared" si="8"/>
        <v>0.65806955842125825</v>
      </c>
      <c r="P9" s="1"/>
      <c r="Q9" s="1">
        <v>763</v>
      </c>
      <c r="R9" s="1">
        <v>512</v>
      </c>
      <c r="S9" s="1">
        <v>2559</v>
      </c>
    </row>
    <row r="10" spans="5:19" x14ac:dyDescent="0.25">
      <c r="E10" s="1" t="s">
        <v>15</v>
      </c>
      <c r="F10" s="1">
        <v>183</v>
      </c>
      <c r="G10" s="1">
        <f t="shared" si="0"/>
        <v>329</v>
      </c>
      <c r="H10" s="1">
        <f t="shared" si="1"/>
        <v>580</v>
      </c>
      <c r="I10" s="1">
        <f t="shared" si="2"/>
        <v>1467</v>
      </c>
      <c r="J10" s="1">
        <f t="shared" si="3"/>
        <v>0.2398427260812582</v>
      </c>
      <c r="K10" s="1">
        <f t="shared" si="4"/>
        <v>0.76015727391874177</v>
      </c>
      <c r="L10" s="1">
        <f t="shared" si="5"/>
        <v>0.357421875</v>
      </c>
      <c r="M10" s="1">
        <f t="shared" si="6"/>
        <v>0.71665852467024915</v>
      </c>
      <c r="N10" s="1">
        <f t="shared" si="7"/>
        <v>0.28705882352941176</v>
      </c>
      <c r="O10" s="1">
        <f t="shared" si="8"/>
        <v>0.64478311840562719</v>
      </c>
      <c r="P10" s="1"/>
      <c r="Q10" s="1">
        <v>763</v>
      </c>
      <c r="R10" s="1">
        <v>512</v>
      </c>
      <c r="S10" s="1">
        <v>2559</v>
      </c>
    </row>
    <row r="11" spans="5:19" x14ac:dyDescent="0.25">
      <c r="E11" s="1" t="s">
        <v>16</v>
      </c>
      <c r="F11" s="1">
        <v>211</v>
      </c>
      <c r="G11" s="1">
        <f t="shared" si="0"/>
        <v>301</v>
      </c>
      <c r="H11" s="1">
        <f t="shared" si="1"/>
        <v>552</v>
      </c>
      <c r="I11" s="1">
        <f t="shared" si="2"/>
        <v>1495</v>
      </c>
      <c r="J11" s="1">
        <f t="shared" si="3"/>
        <v>0.27653997378768019</v>
      </c>
      <c r="K11" s="1">
        <f t="shared" si="4"/>
        <v>0.72346002621231975</v>
      </c>
      <c r="L11" s="1">
        <f t="shared" si="5"/>
        <v>0.412109375</v>
      </c>
      <c r="M11" s="1">
        <f t="shared" si="6"/>
        <v>0.7303370786516854</v>
      </c>
      <c r="N11" s="1">
        <f t="shared" si="7"/>
        <v>0.33098039215686276</v>
      </c>
      <c r="O11" s="1">
        <f t="shared" si="8"/>
        <v>0.66666666666666663</v>
      </c>
      <c r="P11" s="1"/>
      <c r="Q11" s="1">
        <v>763</v>
      </c>
      <c r="R11" s="1">
        <v>512</v>
      </c>
      <c r="S11" s="1">
        <v>2559</v>
      </c>
    </row>
    <row r="12" spans="5:19" x14ac:dyDescent="0.25">
      <c r="E12" s="1" t="s">
        <v>17</v>
      </c>
      <c r="F12" s="1">
        <v>209</v>
      </c>
      <c r="G12" s="1">
        <f t="shared" si="0"/>
        <v>303</v>
      </c>
      <c r="H12" s="1">
        <f t="shared" si="1"/>
        <v>554</v>
      </c>
      <c r="I12" s="1">
        <f t="shared" si="2"/>
        <v>1493</v>
      </c>
      <c r="J12" s="1">
        <f t="shared" si="3"/>
        <v>0.27391874180865006</v>
      </c>
      <c r="K12" s="1">
        <f t="shared" si="4"/>
        <v>0.72608125819134994</v>
      </c>
      <c r="L12" s="1">
        <f t="shared" si="5"/>
        <v>0.408203125</v>
      </c>
      <c r="M12" s="1">
        <f t="shared" si="6"/>
        <v>0.72936003908158276</v>
      </c>
      <c r="N12" s="1">
        <f t="shared" si="7"/>
        <v>0.32784313725490194</v>
      </c>
      <c r="O12" s="1">
        <f t="shared" si="8"/>
        <v>0.66510355607659244</v>
      </c>
      <c r="P12" s="1"/>
      <c r="Q12" s="1">
        <v>763</v>
      </c>
      <c r="R12" s="1">
        <v>512</v>
      </c>
      <c r="S12" s="1">
        <v>2559</v>
      </c>
    </row>
    <row r="13" spans="5:19" x14ac:dyDescent="0.25">
      <c r="E13" s="1" t="s">
        <v>18</v>
      </c>
      <c r="F13" s="1">
        <v>183</v>
      </c>
      <c r="G13" s="1">
        <f t="shared" si="0"/>
        <v>329</v>
      </c>
      <c r="H13" s="1">
        <f t="shared" si="1"/>
        <v>580</v>
      </c>
      <c r="I13" s="1">
        <f t="shared" si="2"/>
        <v>1467</v>
      </c>
      <c r="J13" s="1">
        <f t="shared" si="3"/>
        <v>0.2398427260812582</v>
      </c>
      <c r="K13" s="1">
        <f t="shared" si="4"/>
        <v>0.76015727391874177</v>
      </c>
      <c r="L13" s="1">
        <f t="shared" si="5"/>
        <v>0.357421875</v>
      </c>
      <c r="M13" s="1">
        <f t="shared" si="6"/>
        <v>0.71665852467024915</v>
      </c>
      <c r="N13" s="1">
        <f t="shared" si="7"/>
        <v>0.28705882352941176</v>
      </c>
      <c r="O13" s="1">
        <f t="shared" si="8"/>
        <v>0.64478311840562719</v>
      </c>
      <c r="P13" s="1"/>
      <c r="Q13" s="1">
        <v>763</v>
      </c>
      <c r="R13" s="1">
        <v>512</v>
      </c>
      <c r="S13" s="1">
        <v>2559</v>
      </c>
    </row>
    <row r="14" spans="5:19" x14ac:dyDescent="0.25">
      <c r="E14" s="1" t="s">
        <v>19</v>
      </c>
      <c r="F14" s="1">
        <v>200</v>
      </c>
      <c r="G14" s="1">
        <f t="shared" si="0"/>
        <v>312</v>
      </c>
      <c r="H14" s="1">
        <f t="shared" si="1"/>
        <v>563</v>
      </c>
      <c r="I14" s="1">
        <f t="shared" si="2"/>
        <v>1484</v>
      </c>
      <c r="J14" s="1">
        <f t="shared" si="3"/>
        <v>0.26212319790301442</v>
      </c>
      <c r="K14" s="1">
        <f t="shared" si="4"/>
        <v>0.73787680209698558</v>
      </c>
      <c r="L14" s="1">
        <f t="shared" si="5"/>
        <v>0.390625</v>
      </c>
      <c r="M14" s="1">
        <f t="shared" si="6"/>
        <v>0.72496336101612113</v>
      </c>
      <c r="N14" s="1">
        <f t="shared" si="7"/>
        <v>0.31372549019607843</v>
      </c>
      <c r="O14" s="1">
        <f t="shared" si="8"/>
        <v>0.65806955842125825</v>
      </c>
      <c r="P14" s="1"/>
      <c r="Q14" s="1">
        <v>763</v>
      </c>
      <c r="R14" s="1">
        <v>512</v>
      </c>
      <c r="S14" s="1">
        <v>2559</v>
      </c>
    </row>
    <row r="15" spans="5:19" x14ac:dyDescent="0.25">
      <c r="E15" s="1" t="s">
        <v>20</v>
      </c>
      <c r="F15" s="1">
        <v>235</v>
      </c>
      <c r="G15" s="1">
        <f t="shared" si="0"/>
        <v>277</v>
      </c>
      <c r="H15" s="1">
        <f t="shared" si="1"/>
        <v>528</v>
      </c>
      <c r="I15" s="1">
        <f t="shared" si="2"/>
        <v>1519</v>
      </c>
      <c r="J15" s="1">
        <f t="shared" si="3"/>
        <v>0.30799475753604194</v>
      </c>
      <c r="K15" s="1">
        <f t="shared" si="4"/>
        <v>0.69200524246395811</v>
      </c>
      <c r="L15" s="1">
        <f t="shared" si="5"/>
        <v>0.458984375</v>
      </c>
      <c r="M15" s="1">
        <f t="shared" si="6"/>
        <v>0.74206155349291647</v>
      </c>
      <c r="N15" s="1">
        <f t="shared" si="7"/>
        <v>0.36862745098039212</v>
      </c>
      <c r="O15" s="1">
        <f t="shared" si="8"/>
        <v>0.68542399374755769</v>
      </c>
      <c r="P15" s="1"/>
      <c r="Q15" s="1">
        <v>763</v>
      </c>
      <c r="R15" s="1">
        <v>512</v>
      </c>
      <c r="S15" s="1">
        <v>2559</v>
      </c>
    </row>
    <row r="16" spans="5:19" x14ac:dyDescent="0.25">
      <c r="E16" s="1" t="s">
        <v>21</v>
      </c>
      <c r="F16" s="1">
        <v>285</v>
      </c>
      <c r="G16" s="1">
        <f t="shared" si="0"/>
        <v>227</v>
      </c>
      <c r="H16" s="1">
        <f t="shared" si="1"/>
        <v>478</v>
      </c>
      <c r="I16" s="1">
        <f t="shared" si="2"/>
        <v>1569</v>
      </c>
      <c r="J16" s="1">
        <f t="shared" si="3"/>
        <v>0.37352555701179552</v>
      </c>
      <c r="K16" s="1">
        <f t="shared" si="4"/>
        <v>0.62647444298820443</v>
      </c>
      <c r="L16" s="1">
        <f t="shared" si="5"/>
        <v>0.556640625</v>
      </c>
      <c r="M16" s="1">
        <f t="shared" si="6"/>
        <v>0.76648754274548114</v>
      </c>
      <c r="N16" s="1">
        <f t="shared" si="7"/>
        <v>0.44705882352941179</v>
      </c>
      <c r="O16" s="1">
        <f t="shared" si="8"/>
        <v>0.72450175849941378</v>
      </c>
      <c r="P16" s="1"/>
      <c r="Q16" s="1">
        <v>763</v>
      </c>
      <c r="R16" s="1">
        <v>512</v>
      </c>
      <c r="S16" s="1">
        <v>2559</v>
      </c>
    </row>
    <row r="17" spans="5:19" x14ac:dyDescent="0.25">
      <c r="E17" s="1" t="s">
        <v>24</v>
      </c>
      <c r="F17" s="1">
        <v>255</v>
      </c>
      <c r="G17" s="1">
        <f t="shared" si="0"/>
        <v>257</v>
      </c>
      <c r="H17" s="1">
        <f t="shared" si="1"/>
        <v>508</v>
      </c>
      <c r="I17" s="1">
        <f t="shared" si="2"/>
        <v>1539</v>
      </c>
      <c r="J17" s="1">
        <f t="shared" si="3"/>
        <v>0.33420707732634336</v>
      </c>
      <c r="K17" s="1">
        <f t="shared" si="4"/>
        <v>0.66579292267365664</v>
      </c>
      <c r="L17" s="1">
        <f t="shared" si="5"/>
        <v>0.498046875</v>
      </c>
      <c r="M17" s="1">
        <f t="shared" si="6"/>
        <v>0.75183194919394236</v>
      </c>
      <c r="N17" s="1">
        <f t="shared" si="7"/>
        <v>0.4</v>
      </c>
      <c r="O17" s="1">
        <f t="shared" si="8"/>
        <v>0.70105509964830015</v>
      </c>
      <c r="P17" s="1"/>
      <c r="Q17" s="1">
        <v>763</v>
      </c>
      <c r="R17" s="1">
        <v>512</v>
      </c>
      <c r="S17" s="1">
        <v>2559</v>
      </c>
    </row>
    <row r="18" spans="5:19" x14ac:dyDescent="0.25">
      <c r="E18" s="1" t="s">
        <v>25</v>
      </c>
      <c r="F18" s="1">
        <v>300</v>
      </c>
      <c r="G18" s="1">
        <f t="shared" si="0"/>
        <v>212</v>
      </c>
      <c r="H18" s="1">
        <f t="shared" si="1"/>
        <v>463</v>
      </c>
      <c r="I18" s="1">
        <f t="shared" si="2"/>
        <v>1584</v>
      </c>
      <c r="J18" s="1">
        <f t="shared" si="3"/>
        <v>0.39318479685452162</v>
      </c>
      <c r="K18" s="1">
        <f t="shared" si="4"/>
        <v>0.60681520314547832</v>
      </c>
      <c r="L18" s="1">
        <f t="shared" si="5"/>
        <v>0.5859375</v>
      </c>
      <c r="M18" s="1">
        <f t="shared" si="6"/>
        <v>0.77381533952125059</v>
      </c>
      <c r="N18" s="1">
        <f t="shared" si="7"/>
        <v>0.47058823529411759</v>
      </c>
      <c r="O18" s="1">
        <f t="shared" si="8"/>
        <v>0.73622508792497066</v>
      </c>
      <c r="Q18" s="1">
        <v>763</v>
      </c>
      <c r="R18" s="1">
        <v>512</v>
      </c>
      <c r="S18" s="1">
        <v>2559</v>
      </c>
    </row>
    <row r="19" spans="5:19" x14ac:dyDescent="0.25">
      <c r="E19" s="1" t="s">
        <v>26</v>
      </c>
      <c r="F19" s="1">
        <v>462</v>
      </c>
      <c r="G19" s="1">
        <f t="shared" si="0"/>
        <v>50</v>
      </c>
      <c r="H19" s="1">
        <f t="shared" si="1"/>
        <v>301</v>
      </c>
      <c r="I19" s="1">
        <f t="shared" si="2"/>
        <v>1746</v>
      </c>
      <c r="J19" s="1">
        <f t="shared" si="3"/>
        <v>0.60550458715596334</v>
      </c>
      <c r="K19" s="1">
        <f t="shared" si="4"/>
        <v>0.39449541284403672</v>
      </c>
      <c r="L19" s="1">
        <f t="shared" si="5"/>
        <v>0.90234375</v>
      </c>
      <c r="M19" s="1">
        <f t="shared" si="6"/>
        <v>0.85295554469956036</v>
      </c>
      <c r="N19" s="1">
        <f t="shared" si="7"/>
        <v>0.72470588235294131</v>
      </c>
      <c r="O19" s="1">
        <f t="shared" si="8"/>
        <v>0.86283704572098474</v>
      </c>
      <c r="Q19" s="1">
        <v>763</v>
      </c>
      <c r="R19" s="1">
        <v>512</v>
      </c>
      <c r="S19" s="1">
        <v>2559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47"/>
  <sheetViews>
    <sheetView tabSelected="1" topLeftCell="A37" workbookViewId="0">
      <selection activeCell="I51" sqref="I51"/>
    </sheetView>
  </sheetViews>
  <sheetFormatPr defaultRowHeight="15" x14ac:dyDescent="0.25"/>
  <cols>
    <col min="3" max="3" width="14.5703125" style="5" bestFit="1" customWidth="1"/>
  </cols>
  <sheetData>
    <row r="3" spans="3:9" x14ac:dyDescent="0.25">
      <c r="C3" s="6" t="s">
        <v>28</v>
      </c>
      <c r="D3" s="6"/>
      <c r="E3" s="6"/>
      <c r="F3" s="6"/>
      <c r="G3" s="6"/>
      <c r="H3" s="6"/>
      <c r="I3" s="6"/>
    </row>
    <row r="4" spans="3:9" x14ac:dyDescent="0.25">
      <c r="C4" s="4" t="s">
        <v>23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31</v>
      </c>
      <c r="I4" s="4" t="s">
        <v>9</v>
      </c>
    </row>
    <row r="5" spans="3:9" x14ac:dyDescent="0.25">
      <c r="C5" s="4" t="s">
        <v>12</v>
      </c>
      <c r="D5" s="3">
        <v>0.30934018851756639</v>
      </c>
      <c r="E5" s="3">
        <v>0.69065981148243361</v>
      </c>
      <c r="F5" s="3">
        <v>0.35426889106967613</v>
      </c>
      <c r="G5" s="3">
        <v>0.80216003927344137</v>
      </c>
      <c r="H5" s="3">
        <v>0.33028362305580972</v>
      </c>
      <c r="I5" s="3">
        <v>0.71254663263302576</v>
      </c>
    </row>
    <row r="6" spans="3:9" x14ac:dyDescent="0.25">
      <c r="C6" s="4" t="s">
        <v>13</v>
      </c>
      <c r="D6" s="3">
        <v>0.31191088260497002</v>
      </c>
      <c r="E6" s="3">
        <v>0.68808911739502998</v>
      </c>
      <c r="F6" s="3">
        <v>0.35721295387634938</v>
      </c>
      <c r="G6" s="3">
        <v>0.80289641629847819</v>
      </c>
      <c r="H6" s="3">
        <v>0.33302836230558097</v>
      </c>
      <c r="I6" s="3">
        <v>0.71372472020420186</v>
      </c>
    </row>
    <row r="7" spans="3:9" x14ac:dyDescent="0.25">
      <c r="C7" s="4" t="s">
        <v>14</v>
      </c>
      <c r="D7" s="3">
        <v>0.35218508997429304</v>
      </c>
      <c r="E7" s="3">
        <v>0.6478149100257069</v>
      </c>
      <c r="F7" s="3">
        <v>0.40333660451422965</v>
      </c>
      <c r="G7" s="3">
        <v>0.81443298969072164</v>
      </c>
      <c r="H7" s="3">
        <v>0.37602927721866425</v>
      </c>
      <c r="I7" s="3">
        <v>0.7321814254859611</v>
      </c>
    </row>
    <row r="8" spans="3:9" x14ac:dyDescent="0.25">
      <c r="C8" s="4" t="s">
        <v>15</v>
      </c>
      <c r="D8" s="3">
        <v>0.32305055698371893</v>
      </c>
      <c r="E8" s="3">
        <v>0.67694944301628102</v>
      </c>
      <c r="F8" s="3">
        <v>0.36997055937193329</v>
      </c>
      <c r="G8" s="3">
        <v>0.80608738340697106</v>
      </c>
      <c r="H8" s="3">
        <v>0.34492223238792319</v>
      </c>
      <c r="I8" s="3">
        <v>0.71882976634596507</v>
      </c>
    </row>
    <row r="9" spans="3:9" x14ac:dyDescent="0.25">
      <c r="C9" s="4" t="s">
        <v>16</v>
      </c>
      <c r="D9" s="3">
        <v>0.40359897172236503</v>
      </c>
      <c r="E9" s="3">
        <v>0.59640102827763497</v>
      </c>
      <c r="F9" s="3">
        <v>0.46221786064769382</v>
      </c>
      <c r="G9" s="3">
        <v>0.82916053019145808</v>
      </c>
      <c r="H9" s="3">
        <v>0.43092406221408974</v>
      </c>
      <c r="I9" s="3">
        <v>0.75574317690948356</v>
      </c>
    </row>
    <row r="10" spans="3:9" x14ac:dyDescent="0.25">
      <c r="C10" s="4" t="s">
        <v>17</v>
      </c>
      <c r="D10" s="3">
        <v>0.39845758354755784</v>
      </c>
      <c r="E10" s="3">
        <v>0.60154241645244211</v>
      </c>
      <c r="F10" s="3">
        <v>0.45632973503434737</v>
      </c>
      <c r="G10" s="3">
        <v>0.82768777614138433</v>
      </c>
      <c r="H10" s="3">
        <v>0.42543458371454707</v>
      </c>
      <c r="I10" s="3">
        <v>0.75338700176713136</v>
      </c>
    </row>
    <row r="11" spans="3:9" x14ac:dyDescent="0.25">
      <c r="C11" s="4" t="s">
        <v>18</v>
      </c>
      <c r="D11" s="3">
        <v>0.32305055698371893</v>
      </c>
      <c r="E11" s="3">
        <v>0.67694944301628102</v>
      </c>
      <c r="F11" s="3">
        <v>0.36997055937193329</v>
      </c>
      <c r="G11" s="3">
        <v>0.80608738340697106</v>
      </c>
      <c r="H11" s="3">
        <v>0.34492223238792319</v>
      </c>
      <c r="I11" s="3">
        <v>0.71882976634596507</v>
      </c>
    </row>
    <row r="12" spans="3:9" x14ac:dyDescent="0.25">
      <c r="C12" s="4" t="s">
        <v>19</v>
      </c>
      <c r="D12" s="3">
        <v>0.35218508997429304</v>
      </c>
      <c r="E12" s="3">
        <v>0.6478149100257069</v>
      </c>
      <c r="F12" s="3">
        <v>0.40333660451422965</v>
      </c>
      <c r="G12" s="3">
        <v>0.81443298969072164</v>
      </c>
      <c r="H12" s="3">
        <v>0.37602927721866425</v>
      </c>
      <c r="I12" s="3">
        <v>0.7321814254859611</v>
      </c>
    </row>
    <row r="13" spans="3:9" x14ac:dyDescent="0.25">
      <c r="C13" s="4" t="s">
        <v>25</v>
      </c>
      <c r="D13" s="3">
        <v>0.4490145672664953</v>
      </c>
      <c r="E13" s="3">
        <v>0.55098543273350475</v>
      </c>
      <c r="F13" s="3">
        <v>0.51422963689892054</v>
      </c>
      <c r="G13" s="3">
        <v>0.84216985763377517</v>
      </c>
      <c r="H13" s="3">
        <v>0.47941445562671542</v>
      </c>
      <c r="I13" s="3">
        <v>0.77655605733359512</v>
      </c>
    </row>
    <row r="14" spans="3:9" x14ac:dyDescent="0.25">
      <c r="C14" s="4" t="s">
        <v>32</v>
      </c>
      <c r="D14" s="3">
        <v>0.45844044558697516</v>
      </c>
      <c r="E14" s="3">
        <v>0.54155955441302484</v>
      </c>
      <c r="F14" s="3">
        <v>0.52502453385672232</v>
      </c>
      <c r="G14" s="3">
        <v>0.84486990672557682</v>
      </c>
      <c r="H14" s="3">
        <v>0.48947849954254347</v>
      </c>
      <c r="I14" s="3">
        <v>0.78087571176124093</v>
      </c>
    </row>
    <row r="15" spans="3:9" x14ac:dyDescent="0.25">
      <c r="C15" s="6" t="s">
        <v>27</v>
      </c>
      <c r="D15" s="6"/>
      <c r="E15" s="6"/>
      <c r="F15" s="6"/>
      <c r="G15" s="6"/>
      <c r="H15" s="6"/>
      <c r="I15" s="6"/>
    </row>
    <row r="16" spans="3:9" x14ac:dyDescent="0.25">
      <c r="C16" s="4" t="s">
        <v>12</v>
      </c>
      <c r="D16" s="3">
        <v>0.24901574803149606</v>
      </c>
      <c r="E16" s="3">
        <v>0.75098425196850394</v>
      </c>
      <c r="F16" s="3">
        <v>0.27802197802197803</v>
      </c>
      <c r="G16" s="3">
        <v>0.79015401540154018</v>
      </c>
      <c r="H16" s="3">
        <v>0.26272066458982352</v>
      </c>
      <c r="I16" s="3">
        <v>0.68763748350197973</v>
      </c>
    </row>
    <row r="17" spans="3:9" x14ac:dyDescent="0.25">
      <c r="C17" s="4" t="s">
        <v>13</v>
      </c>
      <c r="D17" s="3">
        <v>0.17027559055118111</v>
      </c>
      <c r="E17" s="3">
        <v>0.82972440944881887</v>
      </c>
      <c r="F17" s="3">
        <v>0.1901098901098901</v>
      </c>
      <c r="G17" s="3">
        <v>0.7681518151815182</v>
      </c>
      <c r="H17" s="3">
        <v>0.17964693665628242</v>
      </c>
      <c r="I17" s="3">
        <v>0.65244170699516058</v>
      </c>
    </row>
    <row r="18" spans="3:9" x14ac:dyDescent="0.25">
      <c r="C18" s="4" t="s">
        <v>14</v>
      </c>
      <c r="D18" s="3">
        <v>0.25098425196850394</v>
      </c>
      <c r="E18" s="3">
        <v>0.74901574803149606</v>
      </c>
      <c r="F18" s="3">
        <v>0.28021978021978022</v>
      </c>
      <c r="G18" s="3">
        <v>0.79070407040704072</v>
      </c>
      <c r="H18" s="3">
        <v>0.26479750778816202</v>
      </c>
      <c r="I18" s="3">
        <v>0.68851737791465029</v>
      </c>
    </row>
    <row r="19" spans="3:9" x14ac:dyDescent="0.25">
      <c r="C19" s="4" t="s">
        <v>15</v>
      </c>
      <c r="D19" s="3">
        <v>0.13877952755905512</v>
      </c>
      <c r="E19" s="3">
        <v>0.86122047244094491</v>
      </c>
      <c r="F19" s="3">
        <v>0.15494505494505495</v>
      </c>
      <c r="G19" s="3">
        <v>0.75935093509350937</v>
      </c>
      <c r="H19" s="3">
        <v>0.14641744548286606</v>
      </c>
      <c r="I19" s="3">
        <v>0.63836339639243289</v>
      </c>
    </row>
    <row r="20" spans="3:9" x14ac:dyDescent="0.25">
      <c r="C20" s="4" t="s">
        <v>16</v>
      </c>
      <c r="D20" s="3">
        <v>0.26673228346456695</v>
      </c>
      <c r="E20" s="3">
        <v>0.7332677165354331</v>
      </c>
      <c r="F20" s="3">
        <v>0.2978021978021978</v>
      </c>
      <c r="G20" s="3">
        <v>0.79510451045104513</v>
      </c>
      <c r="H20" s="3">
        <v>0.28141225337487019</v>
      </c>
      <c r="I20" s="3">
        <v>0.69555653321601407</v>
      </c>
    </row>
    <row r="21" spans="3:9" x14ac:dyDescent="0.25">
      <c r="C21" s="4" t="s">
        <v>17</v>
      </c>
      <c r="D21" s="3">
        <v>0.28149606299212598</v>
      </c>
      <c r="E21" s="3">
        <v>0.71850393700787396</v>
      </c>
      <c r="F21" s="3">
        <v>0.31428571428571428</v>
      </c>
      <c r="G21" s="3">
        <v>0.79922992299229922</v>
      </c>
      <c r="H21" s="3">
        <v>0.29698857736240919</v>
      </c>
      <c r="I21" s="3">
        <v>0.70215574131104264</v>
      </c>
    </row>
    <row r="22" spans="3:9" x14ac:dyDescent="0.25">
      <c r="C22" s="4" t="s">
        <v>18</v>
      </c>
      <c r="D22" s="3">
        <v>0.13877952755905512</v>
      </c>
      <c r="E22" s="3">
        <v>0.86122047244094491</v>
      </c>
      <c r="F22" s="3">
        <v>0.15494505494505495</v>
      </c>
      <c r="G22" s="3">
        <v>0.75935093509350937</v>
      </c>
      <c r="H22" s="3">
        <v>0.14641744548286606</v>
      </c>
      <c r="I22" s="3">
        <v>0.63836339639243289</v>
      </c>
    </row>
    <row r="23" spans="3:9" x14ac:dyDescent="0.25">
      <c r="C23" s="4" t="s">
        <v>19</v>
      </c>
      <c r="D23" s="3">
        <v>0.25</v>
      </c>
      <c r="E23" s="3">
        <v>0.75</v>
      </c>
      <c r="F23" s="3">
        <v>0.27912087912087913</v>
      </c>
      <c r="G23" s="3">
        <v>0.79042904290429039</v>
      </c>
      <c r="H23" s="3">
        <v>0.26375908618899274</v>
      </c>
      <c r="I23" s="3">
        <v>0.68807743070831495</v>
      </c>
    </row>
    <row r="24" spans="3:9" x14ac:dyDescent="0.25">
      <c r="C24" s="4" t="s">
        <v>25</v>
      </c>
      <c r="D24" s="3">
        <v>0.35039370078740156</v>
      </c>
      <c r="E24" s="3">
        <v>0.64960629921259838</v>
      </c>
      <c r="F24" s="3">
        <v>0.39120879120879121</v>
      </c>
      <c r="G24" s="3">
        <v>0.81848184818481851</v>
      </c>
      <c r="H24" s="3">
        <v>0.36967808930425755</v>
      </c>
      <c r="I24" s="3">
        <v>0.73295204575450945</v>
      </c>
    </row>
    <row r="25" spans="3:9" x14ac:dyDescent="0.25">
      <c r="C25" s="4" t="s">
        <v>32</v>
      </c>
      <c r="D25" s="3">
        <v>0.37992125984251968</v>
      </c>
      <c r="E25" s="3">
        <v>0.62007874015748032</v>
      </c>
      <c r="F25" s="3">
        <v>0.42417582417582417</v>
      </c>
      <c r="G25" s="3">
        <v>0.82673267326732669</v>
      </c>
      <c r="H25" s="3">
        <v>0.40083073727933538</v>
      </c>
      <c r="I25" s="3">
        <v>0.74615046194456669</v>
      </c>
    </row>
    <row r="26" spans="3:9" x14ac:dyDescent="0.25">
      <c r="C26" s="6" t="s">
        <v>29</v>
      </c>
      <c r="D26" s="6"/>
      <c r="E26" s="6"/>
      <c r="F26" s="6"/>
      <c r="G26" s="6"/>
      <c r="H26" s="6"/>
      <c r="I26" s="6"/>
    </row>
    <row r="27" spans="3:9" x14ac:dyDescent="0.25">
      <c r="C27" s="4" t="s">
        <v>12</v>
      </c>
      <c r="D27" s="3">
        <v>0.33032490974729239</v>
      </c>
      <c r="E27" s="3">
        <v>0.66967509025270755</v>
      </c>
      <c r="F27" s="3">
        <v>0.3856691253951528</v>
      </c>
      <c r="G27" s="3">
        <v>0.80442804428044279</v>
      </c>
      <c r="H27" s="3">
        <v>0.35585804569761786</v>
      </c>
      <c r="I27" s="3">
        <v>0.72064094454986294</v>
      </c>
    </row>
    <row r="28" spans="3:9" x14ac:dyDescent="0.25">
      <c r="C28" s="4" t="s">
        <v>13</v>
      </c>
      <c r="D28" s="3">
        <v>0.34476534296028882</v>
      </c>
      <c r="E28" s="3">
        <v>0.65523465703971118</v>
      </c>
      <c r="F28" s="3">
        <v>0.40252897787144365</v>
      </c>
      <c r="G28" s="3">
        <v>0.80864522930943594</v>
      </c>
      <c r="H28" s="3">
        <v>0.37141468157510937</v>
      </c>
      <c r="I28" s="3">
        <v>0.72738772928526252</v>
      </c>
    </row>
    <row r="29" spans="3:9" x14ac:dyDescent="0.25">
      <c r="C29" s="4" t="s">
        <v>14</v>
      </c>
      <c r="D29" s="3">
        <v>0.40523465703971118</v>
      </c>
      <c r="E29" s="3">
        <v>0.59476534296028882</v>
      </c>
      <c r="F29" s="3">
        <v>0.47312961011591148</v>
      </c>
      <c r="G29" s="3">
        <v>0.82630469161834474</v>
      </c>
      <c r="H29" s="3">
        <v>0.43655809431210502</v>
      </c>
      <c r="I29" s="3">
        <v>0.7556398903647481</v>
      </c>
    </row>
    <row r="30" spans="3:9" x14ac:dyDescent="0.25">
      <c r="C30" s="4" t="s">
        <v>15</v>
      </c>
      <c r="D30" s="3">
        <v>0.29061371841155237</v>
      </c>
      <c r="E30" s="3">
        <v>0.70938628158844763</v>
      </c>
      <c r="F30" s="3">
        <v>0.33930453108535302</v>
      </c>
      <c r="G30" s="3">
        <v>0.79283078545071162</v>
      </c>
      <c r="H30" s="3">
        <v>0.31307729703451631</v>
      </c>
      <c r="I30" s="3">
        <v>0.70208728652751418</v>
      </c>
    </row>
    <row r="31" spans="3:9" x14ac:dyDescent="0.25">
      <c r="C31" s="4" t="s">
        <v>16</v>
      </c>
      <c r="D31" s="3">
        <v>0.4296028880866426</v>
      </c>
      <c r="E31" s="3">
        <v>0.5703971119133574</v>
      </c>
      <c r="F31" s="3">
        <v>0.50158061116965225</v>
      </c>
      <c r="G31" s="3">
        <v>0.83342119135477066</v>
      </c>
      <c r="H31" s="3">
        <v>0.46280991735537186</v>
      </c>
      <c r="I31" s="3">
        <v>0.76702508960573479</v>
      </c>
    </row>
    <row r="32" spans="3:9" x14ac:dyDescent="0.25">
      <c r="C32" s="4" t="s">
        <v>17</v>
      </c>
      <c r="D32" s="3">
        <v>0.43411552346570398</v>
      </c>
      <c r="E32" s="3">
        <v>0.56588447653429608</v>
      </c>
      <c r="F32" s="3">
        <v>0.50684931506849318</v>
      </c>
      <c r="G32" s="3">
        <v>0.83473906167633105</v>
      </c>
      <c r="H32" s="3">
        <v>0.46767136606708803</v>
      </c>
      <c r="I32" s="3">
        <v>0.76913345983554715</v>
      </c>
    </row>
    <row r="33" spans="3:9" x14ac:dyDescent="0.25">
      <c r="C33" s="4" t="s">
        <v>18</v>
      </c>
      <c r="D33" s="3">
        <v>0.29061371841155237</v>
      </c>
      <c r="E33" s="3">
        <v>0.70938628158844763</v>
      </c>
      <c r="F33" s="3">
        <v>0.33930453108535302</v>
      </c>
      <c r="G33" s="3">
        <v>0.79283078545071162</v>
      </c>
      <c r="H33" s="3">
        <v>0.31307729703451631</v>
      </c>
      <c r="I33" s="3">
        <v>0.70208728652751418</v>
      </c>
    </row>
    <row r="34" spans="3:9" x14ac:dyDescent="0.25">
      <c r="C34" s="4" t="s">
        <v>19</v>
      </c>
      <c r="D34" s="3">
        <v>0.40523465703971118</v>
      </c>
      <c r="E34" s="3">
        <v>0.59476534296028882</v>
      </c>
      <c r="F34" s="3">
        <v>0.47312961011591148</v>
      </c>
      <c r="G34" s="3">
        <v>0.82630469161834474</v>
      </c>
      <c r="H34" s="3">
        <v>0.43655809431210502</v>
      </c>
      <c r="I34" s="3">
        <v>0.7556398903647481</v>
      </c>
    </row>
    <row r="35" spans="3:9" x14ac:dyDescent="0.25">
      <c r="C35" s="4" t="s">
        <v>25</v>
      </c>
      <c r="D35" s="3">
        <v>0.45216606498194944</v>
      </c>
      <c r="E35" s="3">
        <v>0.54783393501805056</v>
      </c>
      <c r="F35" s="3">
        <v>0.52792413066385668</v>
      </c>
      <c r="G35" s="3">
        <v>0.84001054296257249</v>
      </c>
      <c r="H35" s="3">
        <v>0.48711716091395235</v>
      </c>
      <c r="I35" s="3">
        <v>0.77756694075479649</v>
      </c>
    </row>
    <row r="36" spans="3:9" x14ac:dyDescent="0.25">
      <c r="C36" s="4" t="s">
        <v>32</v>
      </c>
      <c r="D36" s="3">
        <v>0.48555956678700363</v>
      </c>
      <c r="E36" s="3">
        <v>0.51444043321299637</v>
      </c>
      <c r="F36" s="3">
        <v>0.5669125395152792</v>
      </c>
      <c r="G36" s="3">
        <v>0.84976278334211919</v>
      </c>
      <c r="H36" s="3">
        <v>0.52309188138065144</v>
      </c>
      <c r="I36" s="3">
        <v>0.79316888045540801</v>
      </c>
    </row>
    <row r="37" spans="3:9" x14ac:dyDescent="0.25">
      <c r="C37" s="6" t="s">
        <v>30</v>
      </c>
      <c r="D37" s="6"/>
      <c r="E37" s="6"/>
      <c r="F37" s="6"/>
      <c r="G37" s="6"/>
      <c r="H37" s="6"/>
      <c r="I37" s="6"/>
    </row>
    <row r="38" spans="3:9" x14ac:dyDescent="0.25">
      <c r="C38" s="4" t="s">
        <v>12</v>
      </c>
      <c r="D38" s="3">
        <v>0.28309305373525556</v>
      </c>
      <c r="E38" s="3">
        <v>0.71690694626474438</v>
      </c>
      <c r="F38" s="3">
        <v>0.421875</v>
      </c>
      <c r="G38" s="3">
        <v>0.73277967757694185</v>
      </c>
      <c r="H38" s="3">
        <v>0.33882352941176469</v>
      </c>
      <c r="I38" s="3">
        <v>0.67057444314185233</v>
      </c>
    </row>
    <row r="39" spans="3:9" x14ac:dyDescent="0.25">
      <c r="C39" s="4" t="s">
        <v>13</v>
      </c>
      <c r="D39" s="3">
        <v>0.26998689384010482</v>
      </c>
      <c r="E39" s="3">
        <v>0.73001310615989512</v>
      </c>
      <c r="F39" s="3">
        <v>0.40234375</v>
      </c>
      <c r="G39" s="3">
        <v>0.72789447972642896</v>
      </c>
      <c r="H39" s="3">
        <v>0.32313725490196077</v>
      </c>
      <c r="I39" s="3">
        <v>0.66275889019148104</v>
      </c>
    </row>
    <row r="40" spans="3:9" x14ac:dyDescent="0.25">
      <c r="C40" s="4" t="s">
        <v>14</v>
      </c>
      <c r="D40" s="3">
        <v>0.26212319790301442</v>
      </c>
      <c r="E40" s="3">
        <v>0.73787680209698558</v>
      </c>
      <c r="F40" s="3">
        <v>0.390625</v>
      </c>
      <c r="G40" s="3">
        <v>0.72496336101612113</v>
      </c>
      <c r="H40" s="3">
        <v>0.31372549019607843</v>
      </c>
      <c r="I40" s="3">
        <v>0.65806955842125825</v>
      </c>
    </row>
    <row r="41" spans="3:9" x14ac:dyDescent="0.25">
      <c r="C41" s="4" t="s">
        <v>15</v>
      </c>
      <c r="D41" s="3">
        <v>0.2398427260812582</v>
      </c>
      <c r="E41" s="3">
        <v>0.76015727391874177</v>
      </c>
      <c r="F41" s="3">
        <v>0.357421875</v>
      </c>
      <c r="G41" s="3">
        <v>0.71665852467024915</v>
      </c>
      <c r="H41" s="3">
        <v>0.28705882352941176</v>
      </c>
      <c r="I41" s="3">
        <v>0.64478311840562719</v>
      </c>
    </row>
    <row r="42" spans="3:9" x14ac:dyDescent="0.25">
      <c r="C42" s="4" t="s">
        <v>16</v>
      </c>
      <c r="D42" s="3">
        <v>0.27653997378768019</v>
      </c>
      <c r="E42" s="3">
        <v>0.72346002621231975</v>
      </c>
      <c r="F42" s="3">
        <v>0.412109375</v>
      </c>
      <c r="G42" s="3">
        <v>0.7303370786516854</v>
      </c>
      <c r="H42" s="3">
        <v>0.33098039215686276</v>
      </c>
      <c r="I42" s="3">
        <v>0.66666666666666663</v>
      </c>
    </row>
    <row r="43" spans="3:9" x14ac:dyDescent="0.25">
      <c r="C43" s="4" t="s">
        <v>17</v>
      </c>
      <c r="D43" s="3">
        <v>0.27391874180865006</v>
      </c>
      <c r="E43" s="3">
        <v>0.72608125819134994</v>
      </c>
      <c r="F43" s="3">
        <v>0.408203125</v>
      </c>
      <c r="G43" s="3">
        <v>0.72936003908158276</v>
      </c>
      <c r="H43" s="3">
        <v>0.32784313725490194</v>
      </c>
      <c r="I43" s="3">
        <v>0.66510355607659244</v>
      </c>
    </row>
    <row r="44" spans="3:9" x14ac:dyDescent="0.25">
      <c r="C44" s="4" t="s">
        <v>18</v>
      </c>
      <c r="D44" s="3">
        <v>0.2398427260812582</v>
      </c>
      <c r="E44" s="3">
        <v>0.76015727391874177</v>
      </c>
      <c r="F44" s="3">
        <v>0.357421875</v>
      </c>
      <c r="G44" s="3">
        <v>0.71665852467024915</v>
      </c>
      <c r="H44" s="3">
        <v>0.28705882352941176</v>
      </c>
      <c r="I44" s="3">
        <v>0.64478311840562719</v>
      </c>
    </row>
    <row r="45" spans="3:9" x14ac:dyDescent="0.25">
      <c r="C45" s="4" t="s">
        <v>19</v>
      </c>
      <c r="D45" s="3">
        <v>0.26212319790301442</v>
      </c>
      <c r="E45" s="3">
        <v>0.73787680209698558</v>
      </c>
      <c r="F45" s="3">
        <v>0.390625</v>
      </c>
      <c r="G45" s="3">
        <v>0.72496336101612113</v>
      </c>
      <c r="H45" s="3">
        <v>0.31372549019607843</v>
      </c>
      <c r="I45" s="3">
        <v>0.65806955842125825</v>
      </c>
    </row>
    <row r="46" spans="3:9" x14ac:dyDescent="0.25">
      <c r="C46" s="4" t="s">
        <v>25</v>
      </c>
      <c r="D46" s="3">
        <v>0.39318479685452162</v>
      </c>
      <c r="E46" s="3">
        <v>0.60681520314547832</v>
      </c>
      <c r="F46" s="3">
        <v>0.5859375</v>
      </c>
      <c r="G46" s="3">
        <v>0.77381533952125059</v>
      </c>
      <c r="H46" s="3">
        <v>0.47058823529411759</v>
      </c>
      <c r="I46" s="3">
        <v>0.73622508792497066</v>
      </c>
    </row>
    <row r="47" spans="3:9" x14ac:dyDescent="0.25">
      <c r="C47" s="4" t="s">
        <v>33</v>
      </c>
      <c r="D47" s="3">
        <v>0.60550458715596334</v>
      </c>
      <c r="E47" s="3">
        <v>0.39449541284403672</v>
      </c>
      <c r="F47" s="3">
        <v>0.90234375</v>
      </c>
      <c r="G47" s="3">
        <v>0.85295554469956036</v>
      </c>
      <c r="H47" s="3">
        <v>0.72470588235294131</v>
      </c>
      <c r="I47" s="3">
        <v>0.86283704572098474</v>
      </c>
    </row>
  </sheetData>
  <mergeCells count="4">
    <mergeCell ref="C15:I15"/>
    <mergeCell ref="C3:I3"/>
    <mergeCell ref="C26:I26"/>
    <mergeCell ref="C37:I3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7" sqref="G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YMIPS</vt:lpstr>
      <vt:lpstr>YDIP</vt:lpstr>
      <vt:lpstr>YHQ</vt:lpstr>
      <vt:lpstr>YMDB</vt:lpstr>
      <vt:lpstr>Comm_neigh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lab5-30</dc:creator>
  <cp:lastModifiedBy>Anjan Payra</cp:lastModifiedBy>
  <dcterms:created xsi:type="dcterms:W3CDTF">2019-04-17T05:26:53Z</dcterms:created>
  <dcterms:modified xsi:type="dcterms:W3CDTF">2021-08-20T18:02:43Z</dcterms:modified>
</cp:coreProperties>
</file>